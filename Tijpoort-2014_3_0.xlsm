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SRKGNA\personal\hvl\Joos\programma Patrick\"/>
    </mc:Choice>
  </mc:AlternateContent>
  <bookViews>
    <workbookView xWindow="-15" yWindow="-15" windowWidth="20430" windowHeight="11010" tabRatio="752"/>
  </bookViews>
  <sheets>
    <sheet name="VAARPLAN" sheetId="25" r:id="rId1"/>
    <sheet name="Tijpoorten" sheetId="23" r:id="rId2"/>
    <sheet name="Routes" sheetId="22" r:id="rId3"/>
    <sheet name="Waypoints" sheetId="26" r:id="rId4"/>
    <sheet name="Scheepstypes" sheetId="28" r:id="rId5"/>
    <sheet name="Statistiek" sheetId="24" r:id="rId6"/>
    <sheet name="Vliss" sheetId="29" r:id="rId7"/>
  </sheets>
  <functionGroups builtInGroupCount="18"/>
  <definedNames>
    <definedName name="AankomstPuntTot">VAARPLAN!$G$10</definedName>
    <definedName name="AfwBath">VAARPLAN!$G$12</definedName>
    <definedName name="AfwVliss">VAARPLAN!$D$12</definedName>
    <definedName name="BOA">VAARPLAN!$H$2</definedName>
    <definedName name="Diepgang">VAARPLAN!$C$4</definedName>
    <definedName name="ETA">VAARPLAN!$G$8</definedName>
    <definedName name="EvalPeriodEnd">VAARPLAN!$E$15</definedName>
    <definedName name="EvalPeriodStart">VAARPLAN!$C$15</definedName>
    <definedName name="GewenstePuntETA">VAARPLAN!$G$9</definedName>
    <definedName name="GMT_wintertijd">VAARPLAN!$C$10</definedName>
    <definedName name="GMT_zomertijd">VAARPLAN!$C$9</definedName>
    <definedName name="IMOnummer">VAARPLAN!$C$2</definedName>
    <definedName name="LOA">VAARPLAN!$H$1</definedName>
    <definedName name="MinPointWindow">VAARPLAN!$F$15</definedName>
    <definedName name="MinTidalRange">VAARPLAN!$F$13</definedName>
    <definedName name="MinWindow">VAARPLAN!$F$14</definedName>
    <definedName name="Opmerking1">VAARPLAN!$J$5</definedName>
    <definedName name="Opmerking2">VAARPLAN!$J$6</definedName>
    <definedName name="Opmerking3">VAARPLAN!$J$7</definedName>
    <definedName name="Scheepsnaam">VAARPLAN!$C$1</definedName>
    <definedName name="SType">VAARPLAN!$C$3</definedName>
    <definedName name="Vaarplan">VAARPLAN!$C$5</definedName>
    <definedName name="VaartMogelijk">VAARPLAN!$C$6</definedName>
    <definedName name="vHaven">VAARPLAN!$H$6</definedName>
    <definedName name="vMix">VAARPLAN!$H$5</definedName>
    <definedName name="vRivier">VAARPLAN!$H$4</definedName>
    <definedName name="vZee">VAARPLAN!$H$3</definedName>
    <definedName name="wintertijd_datum">VAARPLAN!$B$10</definedName>
    <definedName name="zomertijd_datum">VAARPLAN!$B$9</definedName>
  </definedNames>
  <calcPr calcId="152511" calcOnSave="0"/>
</workbook>
</file>

<file path=xl/calcChain.xml><?xml version="1.0" encoding="utf-8"?>
<calcChain xmlns="http://schemas.openxmlformats.org/spreadsheetml/2006/main">
  <c r="F24" i="26" l="1"/>
  <c r="F37" i="26" l="1"/>
  <c r="F36" i="26"/>
  <c r="F35" i="26"/>
  <c r="F34" i="26"/>
  <c r="F33" i="26"/>
  <c r="F32" i="26"/>
  <c r="F31" i="26"/>
  <c r="F30" i="26"/>
  <c r="F29" i="26"/>
  <c r="F28" i="26"/>
  <c r="F27" i="26"/>
  <c r="F26" i="26"/>
  <c r="F25" i="26"/>
  <c r="F23" i="26"/>
  <c r="F22" i="26"/>
  <c r="F21" i="26"/>
  <c r="F20" i="26"/>
  <c r="F19" i="26"/>
  <c r="F18" i="26"/>
  <c r="F17" i="26"/>
  <c r="F16" i="26"/>
  <c r="F15" i="26"/>
  <c r="F14" i="26"/>
  <c r="F13" i="26"/>
  <c r="F12" i="26"/>
  <c r="F11" i="26"/>
  <c r="F10" i="26"/>
  <c r="F9" i="26"/>
  <c r="F8" i="26"/>
  <c r="F7" i="26"/>
  <c r="F6" i="26"/>
  <c r="F5" i="26"/>
  <c r="B2" i="23" l="1"/>
  <c r="B1" i="23"/>
</calcChain>
</file>

<file path=xl/sharedStrings.xml><?xml version="1.0" encoding="utf-8"?>
<sst xmlns="http://schemas.openxmlformats.org/spreadsheetml/2006/main" count="2449" uniqueCount="229">
  <si>
    <t>NAAM SCHIP:</t>
  </si>
  <si>
    <t>LOA:</t>
  </si>
  <si>
    <t>Type: Gen'l-Bulk-Cont</t>
  </si>
  <si>
    <t>Geschatte snelheid op zee:</t>
  </si>
  <si>
    <t>Diepgang (TE):</t>
  </si>
  <si>
    <t>Geschatte snelheid op rivier:</t>
  </si>
  <si>
    <t>Afwijking  op HW/LW:</t>
  </si>
  <si>
    <t>Vlissingen:</t>
  </si>
  <si>
    <t>Bath:</t>
  </si>
  <si>
    <t>dm</t>
  </si>
  <si>
    <t>Hansweert:</t>
  </si>
  <si>
    <t>Borssele:</t>
  </si>
  <si>
    <t>Kallo</t>
  </si>
  <si>
    <t>Zandvliet</t>
  </si>
  <si>
    <t>Terneuzen</t>
  </si>
  <si>
    <t>Pas v. Terneuzen</t>
  </si>
  <si>
    <t>Vlissingen</t>
  </si>
  <si>
    <t>CON</t>
  </si>
  <si>
    <t>Bath</t>
  </si>
  <si>
    <t>Valkenisse</t>
  </si>
  <si>
    <t>Ossenisse</t>
  </si>
  <si>
    <t>Afvaart</t>
  </si>
  <si>
    <t>Opvaart</t>
  </si>
  <si>
    <t>CP</t>
  </si>
  <si>
    <t>Punt:</t>
  </si>
  <si>
    <t>start:</t>
  </si>
  <si>
    <t>eind:</t>
  </si>
  <si>
    <t>duur:</t>
  </si>
  <si>
    <t>Waterdiepte:</t>
  </si>
  <si>
    <t>Afwijking waterstand:</t>
  </si>
  <si>
    <t>Waarde:</t>
  </si>
  <si>
    <t>Naam:</t>
  </si>
  <si>
    <t>Punten:</t>
  </si>
  <si>
    <t>(Bath + Vlis) / 2</t>
  </si>
  <si>
    <t>Afstand vanaf Kallo:</t>
  </si>
  <si>
    <t>UKC:</t>
  </si>
  <si>
    <t>Waypoints zijn punten die in een route kunnen worden opgenomen, en waarvoor waterstandgegevens bekend zijn.</t>
  </si>
  <si>
    <t>Voor deze punten worden tijpoorten berekend.</t>
  </si>
  <si>
    <t>Routes zijn gedefinieerde volgordes van Waypoints en rekenpunten. Klik op 'nieuwe route' om een route toe te voegen.</t>
  </si>
  <si>
    <t>Punten op de route</t>
  </si>
  <si>
    <t>Verwijder de kolommen om een route te verwijderen.</t>
  </si>
  <si>
    <t>Route:</t>
  </si>
  <si>
    <t>ETA/ETD:</t>
  </si>
  <si>
    <t>ETA</t>
  </si>
  <si>
    <t>Diepgang</t>
  </si>
  <si>
    <t>Tijpoorten (in lokale tijd; tijdszone aangeven in 'Vaarplan'):</t>
  </si>
  <si>
    <t>Drempeldiepte:</t>
  </si>
  <si>
    <t>afwijking:</t>
  </si>
  <si>
    <t>Benodigde rijs:</t>
  </si>
  <si>
    <t>tijd:</t>
  </si>
  <si>
    <t>afstand:</t>
  </si>
  <si>
    <t>Getijgegevens:</t>
  </si>
  <si>
    <t>kallo</t>
  </si>
  <si>
    <t>liefkenshoek</t>
  </si>
  <si>
    <t>prosper</t>
  </si>
  <si>
    <t>bath</t>
  </si>
  <si>
    <t>hansweert</t>
  </si>
  <si>
    <t>ossenisse</t>
  </si>
  <si>
    <t>terneuzen</t>
  </si>
  <si>
    <t>pas_van_terneuzen</t>
  </si>
  <si>
    <t>borselle</t>
  </si>
  <si>
    <t>vlissingen</t>
  </si>
  <si>
    <t>W3</t>
  </si>
  <si>
    <t>SW</t>
  </si>
  <si>
    <t>S7</t>
  </si>
  <si>
    <t>SZ</t>
  </si>
  <si>
    <t>S3</t>
  </si>
  <si>
    <t>VG5</t>
  </si>
  <si>
    <t>VG3</t>
  </si>
  <si>
    <t>kwintebank</t>
  </si>
  <si>
    <t>Drempel</t>
  </si>
  <si>
    <t>UKC</t>
  </si>
  <si>
    <t>%</t>
  </si>
  <si>
    <t>Snelheid</t>
  </si>
  <si>
    <t>Zee</t>
  </si>
  <si>
    <t>Rivier</t>
  </si>
  <si>
    <t>Haven</t>
  </si>
  <si>
    <t>Geschatte havensnelheid:</t>
  </si>
  <si>
    <t>Geschatte snelheid boven CP:</t>
  </si>
  <si>
    <t>Type:</t>
  </si>
  <si>
    <t>Afkorting:</t>
  </si>
  <si>
    <t>Zeesnelheid</t>
  </si>
  <si>
    <t>Riviersnelheid</t>
  </si>
  <si>
    <t>CP snelheid</t>
  </si>
  <si>
    <t>Havensnelheid</t>
  </si>
  <si>
    <t>Container</t>
  </si>
  <si>
    <t>Bulkcarrier</t>
  </si>
  <si>
    <t>BLK</t>
  </si>
  <si>
    <t>Scheepstypes worden hier gedefinieerd. Er worden 4 snelheden gevraagd, Zee, Rivier, CP en Haven.</t>
  </si>
  <si>
    <t>CP is een snelheid die (mogelijk) gebruikt wordt vanaf CP. Vaak tussen haven en riviersnelheid in.</t>
  </si>
  <si>
    <t>KB</t>
  </si>
  <si>
    <t>VG1</t>
  </si>
  <si>
    <t>vg3</t>
  </si>
  <si>
    <t>vg7</t>
  </si>
  <si>
    <t>S9</t>
  </si>
  <si>
    <t>W2-W3</t>
  </si>
  <si>
    <t>W4-W5</t>
  </si>
  <si>
    <t>boei 40</t>
  </si>
  <si>
    <t>Zuidergat</t>
  </si>
  <si>
    <t>Zandvliet Geul</t>
  </si>
  <si>
    <t>Zandvliet sluizen</t>
  </si>
  <si>
    <t>Europaterminal</t>
  </si>
  <si>
    <t>Noordzeeterminal</t>
  </si>
  <si>
    <t>Frederiek</t>
  </si>
  <si>
    <t>DD rivier</t>
  </si>
  <si>
    <t>DD ingang</t>
  </si>
  <si>
    <t>BOA:</t>
  </si>
  <si>
    <t>IMO NR:</t>
  </si>
  <si>
    <t>schaar_van_de_noord</t>
  </si>
  <si>
    <t>overloop_van_hansweert</t>
  </si>
  <si>
    <t>walsoorden</t>
  </si>
  <si>
    <t>W7</t>
  </si>
  <si>
    <t>W6-W7</t>
  </si>
  <si>
    <t>Testschip</t>
  </si>
  <si>
    <t>datum</t>
  </si>
  <si>
    <t>scheepsnaam</t>
  </si>
  <si>
    <t>nat</t>
  </si>
  <si>
    <t>type</t>
  </si>
  <si>
    <t>enpt</t>
  </si>
  <si>
    <t>expt</t>
  </si>
  <si>
    <t>sein</t>
  </si>
  <si>
    <t>dpg</t>
  </si>
  <si>
    <t>loreg</t>
  </si>
  <si>
    <t>snel</t>
  </si>
  <si>
    <t>loa</t>
  </si>
  <si>
    <t>bre</t>
  </si>
  <si>
    <t>ATA entry</t>
  </si>
  <si>
    <t>tijpoort</t>
  </si>
  <si>
    <t>ATA CP</t>
  </si>
  <si>
    <t>ATA PV</t>
  </si>
  <si>
    <t>ATA exit</t>
  </si>
  <si>
    <t>vpl</t>
  </si>
  <si>
    <t>opm</t>
  </si>
  <si>
    <t>reden misl.</t>
  </si>
  <si>
    <t>Vaarplan:</t>
  </si>
  <si>
    <t>KB-ZV</t>
  </si>
  <si>
    <t>RTA op punt:</t>
  </si>
  <si>
    <t>voor het schip uit</t>
  </si>
  <si>
    <t>achter het schip</t>
  </si>
  <si>
    <t>Min globale tijpoort (uren):</t>
  </si>
  <si>
    <t>Min tijpoort op punt:</t>
  </si>
  <si>
    <t>Op/Afvaart mogelijk:</t>
  </si>
  <si>
    <t>tot:</t>
  </si>
  <si>
    <t>Opmerkingen:</t>
  </si>
  <si>
    <t>1:</t>
  </si>
  <si>
    <t>2:</t>
  </si>
  <si>
    <t>3:</t>
  </si>
  <si>
    <t>Aankomst op punt:</t>
  </si>
  <si>
    <t>KB-DD</t>
  </si>
  <si>
    <t>WZ-DD</t>
  </si>
  <si>
    <t>ZV-KB</t>
  </si>
  <si>
    <t>KL-KB</t>
  </si>
  <si>
    <t>Zomertijd gaat in:</t>
  </si>
  <si>
    <t>Datum:</t>
  </si>
  <si>
    <t>Wintertijd gaat in:</t>
  </si>
  <si>
    <t>LT  = GMT + ?:</t>
  </si>
  <si>
    <t>KB-KL</t>
  </si>
  <si>
    <t>DD-KB</t>
  </si>
  <si>
    <t>streefdieptes:</t>
  </si>
  <si>
    <t>KB-VS</t>
  </si>
  <si>
    <t>Monding Sloehaven</t>
  </si>
  <si>
    <t>VlissD</t>
  </si>
  <si>
    <t>VlissR</t>
  </si>
  <si>
    <t>ST</t>
  </si>
  <si>
    <t>LW</t>
  </si>
  <si>
    <t>HW</t>
  </si>
  <si>
    <t>15%</t>
  </si>
  <si>
    <t>33:00</t>
  </si>
  <si>
    <t>32:50</t>
  </si>
  <si>
    <t>9:59</t>
  </si>
  <si>
    <t>10:06</t>
  </si>
  <si>
    <t>6:20</t>
  </si>
  <si>
    <t>10:02</t>
  </si>
  <si>
    <t>10:10</t>
  </si>
  <si>
    <t>6:02</t>
  </si>
  <si>
    <t>8:20</t>
  </si>
  <si>
    <t>8:38</t>
  </si>
  <si>
    <t>5:13</t>
  </si>
  <si>
    <t>7:56</t>
  </si>
  <si>
    <t>8:10</t>
  </si>
  <si>
    <t>4:59</t>
  </si>
  <si>
    <t>5:58</t>
  </si>
  <si>
    <t>6:08</t>
  </si>
  <si>
    <t>3:51</t>
  </si>
  <si>
    <t>5:53</t>
  </si>
  <si>
    <t>6:04</t>
  </si>
  <si>
    <t>3:39</t>
  </si>
  <si>
    <t>12,5%</t>
  </si>
  <si>
    <t>7:02</t>
  </si>
  <si>
    <t>7:18</t>
  </si>
  <si>
    <t>4:18</t>
  </si>
  <si>
    <t>7:15</t>
  </si>
  <si>
    <t>7:32</t>
  </si>
  <si>
    <t>4:17</t>
  </si>
  <si>
    <t>7:07</t>
  </si>
  <si>
    <t>7:22</t>
  </si>
  <si>
    <t>4:08</t>
  </si>
  <si>
    <t>6:59</t>
  </si>
  <si>
    <t>7:11</t>
  </si>
  <si>
    <t>3:60</t>
  </si>
  <si>
    <t>7:08</t>
  </si>
  <si>
    <t>7:20</t>
  </si>
  <si>
    <t>6:27</t>
  </si>
  <si>
    <t>6:40</t>
  </si>
  <si>
    <t>3:33</t>
  </si>
  <si>
    <t>6:33</t>
  </si>
  <si>
    <t>6:41</t>
  </si>
  <si>
    <t>3:26</t>
  </si>
  <si>
    <t>6:50</t>
  </si>
  <si>
    <t>7:01</t>
  </si>
  <si>
    <t>3:37</t>
  </si>
  <si>
    <t>7:35</t>
  </si>
  <si>
    <t>7:42</t>
  </si>
  <si>
    <t>3:48</t>
  </si>
  <si>
    <t>3:30</t>
  </si>
  <si>
    <t>7:21</t>
  </si>
  <si>
    <t>3:07</t>
  </si>
  <si>
    <t>10%</t>
  </si>
  <si>
    <t>8:27</t>
  </si>
  <si>
    <t>8:21</t>
  </si>
  <si>
    <t>3:44</t>
  </si>
  <si>
    <t>4:30</t>
  </si>
  <si>
    <t>4:39</t>
  </si>
  <si>
    <t>1:30</t>
  </si>
  <si>
    <t>3:55</t>
  </si>
  <si>
    <t>4:07</t>
  </si>
  <si>
    <t>1:12</t>
  </si>
  <si>
    <t>Nee</t>
  </si>
  <si>
    <t>Geen tijpoort mogelijk in deze evaluatieperiode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</si>
</sst>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/mm/yy\ h:mm;@"/>
    <numFmt numFmtId="165" formatCode="h:mm;@"/>
    <numFmt numFmtId="166" formatCode="0.0"/>
    <numFmt numFmtId="167" formatCode="d/m/yy\ hh:mm;"/>
    <numFmt numFmtId="168" formatCode=";;;"/>
  </numFmts>
  <fonts count="1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color indexed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BDD7EE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</borders>
  <cellStyleXfs count="4">
    <xf numFmtId="0" fontId="0" fillId="0" borderId="0"/>
    <xf numFmtId="0" fontId="3" fillId="0" borderId="0"/>
    <xf numFmtId="0" fontId="2" fillId="0" borderId="0"/>
    <xf numFmtId="0" fontId="1" fillId="0" borderId="0"/>
  </cellStyleXfs>
  <cellXfs count="176">
    <xf numFmtId="0" fontId="0" fillId="0" borderId="0" xfId="0"/>
    <xf numFmtId="0" fontId="0" fillId="0" borderId="0" xfId="0" applyProtection="1"/>
    <xf numFmtId="0" fontId="4" fillId="0" borderId="0" xfId="0" applyFont="1" applyAlignment="1" applyProtection="1">
      <alignment horizontal="center"/>
    </xf>
    <xf numFmtId="0" fontId="0" fillId="0" borderId="1" xfId="0" applyBorder="1" applyProtection="1"/>
    <xf numFmtId="0" fontId="6" fillId="0" borderId="0" xfId="0" applyFont="1" applyProtection="1"/>
    <xf numFmtId="0" fontId="0" fillId="0" borderId="0" xfId="0" applyBorder="1"/>
    <xf numFmtId="0" fontId="0" fillId="0" borderId="6" xfId="0" applyBorder="1"/>
    <xf numFmtId="0" fontId="6" fillId="0" borderId="0" xfId="0" applyFont="1"/>
    <xf numFmtId="0" fontId="6" fillId="2" borderId="0" xfId="0" applyFont="1" applyFill="1"/>
    <xf numFmtId="164" fontId="0" fillId="2" borderId="0" xfId="0" applyNumberFormat="1" applyFill="1"/>
    <xf numFmtId="22" fontId="0" fillId="0" borderId="0" xfId="0" applyNumberFormat="1"/>
    <xf numFmtId="164" fontId="0" fillId="0" borderId="0" xfId="0" applyNumberFormat="1" applyFill="1"/>
    <xf numFmtId="0" fontId="0" fillId="0" borderId="9" xfId="0" applyBorder="1"/>
    <xf numFmtId="22" fontId="0" fillId="0" borderId="0" xfId="0" applyNumberFormat="1" applyFill="1"/>
    <xf numFmtId="22" fontId="6" fillId="0" borderId="0" xfId="0" applyNumberFormat="1" applyFont="1" applyFill="1"/>
    <xf numFmtId="1" fontId="0" fillId="2" borderId="0" xfId="0" applyNumberFormat="1" applyFill="1"/>
    <xf numFmtId="1" fontId="6" fillId="2" borderId="0" xfId="0" applyNumberFormat="1" applyFont="1" applyFill="1"/>
    <xf numFmtId="0" fontId="0" fillId="0" borderId="0" xfId="0" applyAlignment="1" applyProtection="1">
      <alignment horizontal="center"/>
    </xf>
    <xf numFmtId="22" fontId="0" fillId="0" borderId="7" xfId="0" applyNumberFormat="1" applyBorder="1"/>
    <xf numFmtId="22" fontId="0" fillId="0" borderId="9" xfId="0" applyNumberFormat="1" applyBorder="1"/>
    <xf numFmtId="0" fontId="6" fillId="0" borderId="18" xfId="0" applyFont="1" applyBorder="1"/>
    <xf numFmtId="0" fontId="6" fillId="0" borderId="10" xfId="0" applyFont="1" applyBorder="1"/>
    <xf numFmtId="22" fontId="0" fillId="0" borderId="20" xfId="0" applyNumberFormat="1" applyBorder="1"/>
    <xf numFmtId="22" fontId="0" fillId="0" borderId="21" xfId="0" applyNumberFormat="1" applyBorder="1"/>
    <xf numFmtId="0" fontId="0" fillId="0" borderId="21" xfId="0" applyBorder="1"/>
    <xf numFmtId="0" fontId="0" fillId="0" borderId="0" xfId="0" applyNumberFormat="1" applyFill="1" applyBorder="1"/>
    <xf numFmtId="0" fontId="5" fillId="0" borderId="5" xfId="0" applyNumberFormat="1" applyFont="1" applyFill="1" applyBorder="1"/>
    <xf numFmtId="0" fontId="5" fillId="0" borderId="0" xfId="0" applyNumberFormat="1" applyFont="1" applyFill="1" applyBorder="1"/>
    <xf numFmtId="0" fontId="9" fillId="0" borderId="0" xfId="0" applyFont="1" applyAlignment="1" applyProtection="1"/>
    <xf numFmtId="0" fontId="4" fillId="0" borderId="0" xfId="0" applyFont="1" applyAlignment="1" applyProtection="1"/>
    <xf numFmtId="22" fontId="6" fillId="0" borderId="21" xfId="0" applyNumberFormat="1" applyFont="1" applyBorder="1"/>
    <xf numFmtId="49" fontId="0" fillId="0" borderId="0" xfId="0" applyNumberFormat="1"/>
    <xf numFmtId="49" fontId="6" fillId="2" borderId="0" xfId="0" applyNumberFormat="1" applyFont="1" applyFill="1"/>
    <xf numFmtId="49" fontId="6" fillId="0" borderId="19" xfId="0" applyNumberFormat="1" applyFont="1" applyBorder="1"/>
    <xf numFmtId="49" fontId="0" fillId="0" borderId="16" xfId="0" applyNumberFormat="1" applyBorder="1"/>
    <xf numFmtId="49" fontId="0" fillId="0" borderId="17" xfId="0" applyNumberFormat="1" applyBorder="1"/>
    <xf numFmtId="49" fontId="0" fillId="0" borderId="0" xfId="0" applyNumberFormat="1" applyFill="1"/>
    <xf numFmtId="49" fontId="6" fillId="0" borderId="0" xfId="0" applyNumberFormat="1" applyFont="1" applyFill="1"/>
    <xf numFmtId="49" fontId="6" fillId="0" borderId="19" xfId="0" applyNumberFormat="1" applyFont="1" applyFill="1" applyBorder="1"/>
    <xf numFmtId="0" fontId="6" fillId="0" borderId="11" xfId="0" applyFont="1" applyBorder="1"/>
    <xf numFmtId="0" fontId="6" fillId="0" borderId="11" xfId="0" applyFont="1" applyFill="1" applyBorder="1"/>
    <xf numFmtId="0" fontId="6" fillId="0" borderId="22" xfId="0" applyFont="1" applyFill="1" applyBorder="1"/>
    <xf numFmtId="14" fontId="0" fillId="0" borderId="0" xfId="0" applyNumberFormat="1"/>
    <xf numFmtId="0" fontId="0" fillId="0" borderId="8" xfId="0" applyBorder="1" applyProtection="1"/>
    <xf numFmtId="0" fontId="0" fillId="4" borderId="3" xfId="0" applyFill="1" applyBorder="1" applyAlignment="1" applyProtection="1">
      <alignment horizontal="center"/>
      <protection locked="0"/>
    </xf>
    <xf numFmtId="0" fontId="6" fillId="9" borderId="3" xfId="0" applyFont="1" applyFill="1" applyBorder="1" applyAlignment="1" applyProtection="1">
      <alignment horizontal="center"/>
      <protection locked="0"/>
    </xf>
    <xf numFmtId="0" fontId="0" fillId="9" borderId="3" xfId="0" applyFill="1" applyBorder="1" applyAlignment="1" applyProtection="1">
      <alignment horizontal="center"/>
      <protection locked="0"/>
    </xf>
    <xf numFmtId="0" fontId="0" fillId="9" borderId="14" xfId="0" applyFill="1" applyBorder="1" applyAlignment="1" applyProtection="1">
      <alignment horizontal="center"/>
      <protection locked="0"/>
    </xf>
    <xf numFmtId="20" fontId="0" fillId="0" borderId="0" xfId="0" applyNumberFormat="1"/>
    <xf numFmtId="0" fontId="0" fillId="0" borderId="0" xfId="0" applyNumberFormat="1"/>
    <xf numFmtId="0" fontId="6" fillId="8" borderId="0" xfId="0" applyNumberFormat="1" applyFont="1" applyFill="1" applyBorder="1" applyAlignment="1"/>
    <xf numFmtId="0" fontId="0" fillId="8" borderId="0" xfId="0" applyNumberFormat="1" applyFill="1" applyBorder="1"/>
    <xf numFmtId="0" fontId="6" fillId="0" borderId="23" xfId="0" applyFont="1" applyFill="1" applyBorder="1"/>
    <xf numFmtId="165" fontId="0" fillId="0" borderId="0" xfId="0" applyNumberFormat="1" applyBorder="1"/>
    <xf numFmtId="19" fontId="0" fillId="0" borderId="21" xfId="0" applyNumberFormat="1" applyBorder="1"/>
    <xf numFmtId="19" fontId="0" fillId="0" borderId="9" xfId="0" applyNumberFormat="1" applyBorder="1"/>
    <xf numFmtId="19" fontId="0" fillId="0" borderId="0" xfId="0" applyNumberFormat="1"/>
    <xf numFmtId="49" fontId="6" fillId="0" borderId="11" xfId="0" applyNumberFormat="1" applyFont="1" applyBorder="1"/>
    <xf numFmtId="49" fontId="0" fillId="0" borderId="0" xfId="0" applyNumberFormat="1" applyBorder="1"/>
    <xf numFmtId="166" fontId="6" fillId="0" borderId="0" xfId="0" applyNumberFormat="1" applyFont="1" applyProtection="1"/>
    <xf numFmtId="0" fontId="4" fillId="0" borderId="0" xfId="0" applyFont="1"/>
    <xf numFmtId="0" fontId="4" fillId="5" borderId="5" xfId="0" applyFont="1" applyFill="1" applyBorder="1" applyAlignment="1" applyProtection="1">
      <alignment horizontal="center"/>
    </xf>
    <xf numFmtId="0" fontId="0" fillId="11" borderId="0" xfId="0" applyFill="1"/>
    <xf numFmtId="0" fontId="4" fillId="0" borderId="5" xfId="0" applyFont="1" applyBorder="1" applyAlignment="1" applyProtection="1"/>
    <xf numFmtId="9" fontId="4" fillId="10" borderId="5" xfId="0" applyNumberFormat="1" applyFont="1" applyFill="1" applyBorder="1" applyProtection="1"/>
    <xf numFmtId="0" fontId="4" fillId="7" borderId="5" xfId="0" applyFont="1" applyFill="1" applyBorder="1" applyProtection="1"/>
    <xf numFmtId="20" fontId="0" fillId="0" borderId="0" xfId="0" applyNumberFormat="1" applyBorder="1"/>
    <xf numFmtId="0" fontId="6" fillId="9" borderId="3" xfId="0" applyFont="1" applyFill="1" applyBorder="1" applyAlignment="1" applyProtection="1">
      <alignment horizontal="center" vertical="top"/>
      <protection locked="0"/>
    </xf>
    <xf numFmtId="0" fontId="4" fillId="4" borderId="5" xfId="0" applyFont="1" applyFill="1" applyBorder="1" applyAlignment="1" applyProtection="1">
      <alignment horizontal="center"/>
      <protection locked="0"/>
    </xf>
    <xf numFmtId="9" fontId="4" fillId="6" borderId="5" xfId="0" applyNumberFormat="1" applyFont="1" applyFill="1" applyBorder="1" applyProtection="1"/>
    <xf numFmtId="22" fontId="4" fillId="0" borderId="0" xfId="0" applyNumberFormat="1" applyFont="1" applyFill="1" applyBorder="1" applyAlignment="1">
      <alignment horizontal="left"/>
    </xf>
    <xf numFmtId="22" fontId="4" fillId="0" borderId="0" xfId="0" applyNumberFormat="1" applyFont="1" applyFill="1" applyBorder="1"/>
    <xf numFmtId="49" fontId="4" fillId="2" borderId="0" xfId="0" applyNumberFormat="1" applyFont="1" applyFill="1"/>
    <xf numFmtId="0" fontId="4" fillId="0" borderId="0" xfId="0" applyFont="1" applyFill="1" applyBorder="1"/>
    <xf numFmtId="0" fontId="8" fillId="4" borderId="3" xfId="0" applyFont="1" applyFill="1" applyBorder="1" applyAlignment="1" applyProtection="1">
      <alignment horizontal="center"/>
      <protection locked="0"/>
    </xf>
    <xf numFmtId="0" fontId="4" fillId="4" borderId="3" xfId="0" applyFont="1" applyFill="1" applyBorder="1" applyAlignment="1" applyProtection="1">
      <alignment horizontal="center"/>
      <protection locked="0"/>
    </xf>
    <xf numFmtId="0" fontId="9" fillId="0" borderId="3" xfId="0" applyFont="1" applyBorder="1" applyAlignment="1" applyProtection="1"/>
    <xf numFmtId="0" fontId="0" fillId="4" borderId="14" xfId="0" applyFill="1" applyBorder="1" applyAlignment="1" applyProtection="1">
      <alignment horizontal="center"/>
      <protection locked="0"/>
    </xf>
    <xf numFmtId="0" fontId="0" fillId="0" borderId="26" xfId="0" applyBorder="1" applyAlignment="1" applyProtection="1">
      <alignment horizontal="center"/>
    </xf>
    <xf numFmtId="0" fontId="4" fillId="4" borderId="31" xfId="0" applyFont="1" applyFill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</xf>
    <xf numFmtId="0" fontId="4" fillId="4" borderId="34" xfId="0" applyFont="1" applyFill="1" applyBorder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2" fontId="4" fillId="0" borderId="0" xfId="0" applyNumberFormat="1" applyFont="1"/>
    <xf numFmtId="0" fontId="4" fillId="0" borderId="0" xfId="0" applyFont="1" applyBorder="1" applyAlignment="1" applyProtection="1">
      <alignment horizontal="right"/>
    </xf>
    <xf numFmtId="0" fontId="6" fillId="0" borderId="0" xfId="0" applyFont="1" applyBorder="1" applyAlignment="1" applyProtection="1"/>
    <xf numFmtId="167" fontId="4" fillId="0" borderId="0" xfId="0" applyNumberFormat="1" applyFont="1" applyFill="1" applyBorder="1"/>
    <xf numFmtId="0" fontId="4" fillId="0" borderId="0" xfId="0" applyFont="1" applyAlignment="1" applyProtection="1">
      <alignment horizontal="right"/>
    </xf>
    <xf numFmtId="0" fontId="0" fillId="4" borderId="4" xfId="0" applyFill="1" applyBorder="1" applyAlignment="1" applyProtection="1">
      <alignment horizontal="center"/>
      <protection locked="0"/>
    </xf>
    <xf numFmtId="0" fontId="4" fillId="0" borderId="1" xfId="0" applyFont="1" applyBorder="1"/>
    <xf numFmtId="0" fontId="0" fillId="0" borderId="3" xfId="0" applyBorder="1"/>
    <xf numFmtId="165" fontId="4" fillId="4" borderId="1" xfId="0" applyNumberFormat="1" applyFont="1" applyFill="1" applyBorder="1" applyAlignment="1" applyProtection="1">
      <alignment horizontal="center"/>
      <protection locked="0"/>
    </xf>
    <xf numFmtId="0" fontId="4" fillId="0" borderId="5" xfId="0" applyFont="1" applyBorder="1" applyAlignment="1"/>
    <xf numFmtId="49" fontId="4" fillId="0" borderId="0" xfId="0" applyNumberFormat="1" applyFont="1" applyAlignment="1">
      <alignment horizontal="right"/>
    </xf>
    <xf numFmtId="0" fontId="4" fillId="0" borderId="0" xfId="0" applyNumberFormat="1" applyFont="1" applyFill="1" applyBorder="1"/>
    <xf numFmtId="0" fontId="5" fillId="13" borderId="0" xfId="0" applyNumberFormat="1" applyFont="1" applyFill="1" applyBorder="1"/>
    <xf numFmtId="0" fontId="0" fillId="13" borderId="0" xfId="0" applyNumberFormat="1" applyFill="1" applyBorder="1"/>
    <xf numFmtId="0" fontId="4" fillId="0" borderId="1" xfId="0" applyFont="1" applyBorder="1" applyAlignment="1" applyProtection="1"/>
    <xf numFmtId="168" fontId="0" fillId="0" borderId="0" xfId="0" applyNumberFormat="1" applyAlignment="1">
      <alignment horizontal="right"/>
    </xf>
    <xf numFmtId="168" fontId="4" fillId="0" borderId="0" xfId="0" applyNumberFormat="1" applyFont="1" applyAlignment="1" applyProtection="1">
      <alignment horizontal="right"/>
    </xf>
    <xf numFmtId="22" fontId="4" fillId="4" borderId="3" xfId="0" applyNumberFormat="1" applyFont="1" applyFill="1" applyBorder="1" applyAlignment="1" applyProtection="1">
      <alignment horizontal="center"/>
      <protection locked="0"/>
    </xf>
    <xf numFmtId="0" fontId="6" fillId="0" borderId="1" xfId="0" applyFont="1" applyBorder="1" applyAlignment="1" applyProtection="1">
      <alignment vertical="top"/>
    </xf>
    <xf numFmtId="0" fontId="4" fillId="0" borderId="0" xfId="0" applyFont="1" applyProtection="1"/>
    <xf numFmtId="0" fontId="4" fillId="4" borderId="2" xfId="0" applyFont="1" applyFill="1" applyBorder="1" applyAlignment="1" applyProtection="1">
      <alignment horizontal="center" vertical="center"/>
    </xf>
    <xf numFmtId="0" fontId="4" fillId="4" borderId="5" xfId="0" applyFont="1" applyFill="1" applyBorder="1" applyAlignment="1" applyProtection="1">
      <alignment horizontal="center" vertical="center"/>
    </xf>
    <xf numFmtId="0" fontId="4" fillId="3" borderId="5" xfId="0" applyFont="1" applyFill="1" applyBorder="1" applyProtection="1"/>
    <xf numFmtId="0" fontId="4" fillId="3" borderId="1" xfId="0" applyFont="1" applyFill="1" applyBorder="1" applyProtection="1"/>
    <xf numFmtId="166" fontId="4" fillId="6" borderId="5" xfId="0" applyNumberFormat="1" applyFont="1" applyFill="1" applyBorder="1" applyProtection="1"/>
    <xf numFmtId="10" fontId="4" fillId="10" borderId="5" xfId="0" applyNumberFormat="1" applyFont="1" applyFill="1" applyBorder="1" applyProtection="1"/>
    <xf numFmtId="0" fontId="4" fillId="5" borderId="5" xfId="0" applyFont="1" applyFill="1" applyBorder="1" applyAlignment="1" applyProtection="1">
      <alignment horizontal="center"/>
    </xf>
    <xf numFmtId="0" fontId="0" fillId="0" borderId="0" xfId="0" applyNumberFormat="1" applyFont="1" applyFill="1" applyBorder="1"/>
    <xf numFmtId="0" fontId="4" fillId="0" borderId="0" xfId="0" applyFont="1" applyFill="1" applyBorder="1" applyAlignment="1">
      <alignment horizontal="right"/>
    </xf>
    <xf numFmtId="164" fontId="1" fillId="0" borderId="0" xfId="3" applyNumberFormat="1"/>
    <xf numFmtId="0" fontId="1" fillId="0" borderId="0" xfId="3"/>
    <xf numFmtId="164" fontId="1" fillId="0" borderId="0" xfId="3" applyNumberFormat="1" applyAlignment="1" applyProtection="1">
      <alignment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left"/>
    </xf>
    <xf numFmtId="22" fontId="4" fillId="0" borderId="0" xfId="0" applyNumberFormat="1" applyFont="1" applyFill="1" applyBorder="1" applyAlignment="1"/>
    <xf numFmtId="167" fontId="4" fillId="0" borderId="0" xfId="0" applyNumberFormat="1" applyFont="1" applyFill="1" applyBorder="1" applyAlignment="1">
      <alignment horizontal="left"/>
    </xf>
    <xf numFmtId="167" fontId="4" fillId="0" borderId="0" xfId="0" applyNumberFormat="1" applyFont="1" applyFill="1" applyBorder="1" applyAlignment="1">
      <alignment horizontal="center"/>
    </xf>
    <xf numFmtId="167" fontId="4" fillId="0" borderId="0" xfId="0" applyNumberFormat="1" applyFont="1" applyFill="1" applyBorder="1" applyAlignment="1">
      <alignment horizontal="right"/>
    </xf>
    <xf numFmtId="0" fontId="4" fillId="0" borderId="0" xfId="0" applyFont="1" applyFill="1" applyBorder="1" applyAlignment="1">
      <alignment horizontal="right"/>
    </xf>
    <xf numFmtId="0" fontId="4" fillId="0" borderId="5" xfId="0" applyFont="1" applyBorder="1" applyAlignment="1">
      <alignment horizontal="right"/>
    </xf>
    <xf numFmtId="0" fontId="6" fillId="0" borderId="5" xfId="0" applyFont="1" applyBorder="1" applyAlignment="1">
      <alignment horizontal="right"/>
    </xf>
    <xf numFmtId="0" fontId="0" fillId="0" borderId="0" xfId="0" applyBorder="1" applyAlignment="1" applyProtection="1">
      <alignment horizontal="center"/>
    </xf>
    <xf numFmtId="0" fontId="0" fillId="0" borderId="15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12" xfId="0" applyBorder="1" applyAlignment="1" applyProtection="1">
      <alignment horizontal="center"/>
    </xf>
    <xf numFmtId="0" fontId="4" fillId="0" borderId="1" xfId="0" applyFont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 vertical="top"/>
    </xf>
    <xf numFmtId="0" fontId="0" fillId="0" borderId="12" xfId="0" applyBorder="1" applyAlignment="1" applyProtection="1">
      <alignment horizontal="center" vertical="top"/>
    </xf>
    <xf numFmtId="0" fontId="4" fillId="0" borderId="1" xfId="0" applyFont="1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 vertical="center"/>
    </xf>
    <xf numFmtId="0" fontId="6" fillId="0" borderId="12" xfId="0" applyFont="1" applyBorder="1" applyAlignment="1" applyProtection="1">
      <alignment horizontal="center" vertical="center"/>
    </xf>
    <xf numFmtId="0" fontId="4" fillId="0" borderId="12" xfId="0" applyFont="1" applyBorder="1" applyAlignment="1">
      <alignment horizontal="center"/>
    </xf>
    <xf numFmtId="0" fontId="0" fillId="0" borderId="12" xfId="0" applyBorder="1" applyAlignment="1">
      <alignment horizontal="center"/>
    </xf>
    <xf numFmtId="164" fontId="4" fillId="4" borderId="12" xfId="0" applyNumberFormat="1" applyFont="1" applyFill="1" applyBorder="1" applyAlignment="1" applyProtection="1">
      <alignment horizontal="center"/>
      <protection locked="0"/>
    </xf>
    <xf numFmtId="164" fontId="4" fillId="4" borderId="3" xfId="0" applyNumberFormat="1" applyFont="1" applyFill="1" applyBorder="1" applyAlignment="1" applyProtection="1">
      <alignment horizontal="center"/>
      <protection locked="0"/>
    </xf>
    <xf numFmtId="0" fontId="4" fillId="12" borderId="36" xfId="0" applyFont="1" applyFill="1" applyBorder="1" applyAlignment="1">
      <alignment horizontal="left"/>
    </xf>
    <xf numFmtId="0" fontId="0" fillId="12" borderId="36" xfId="0" applyFill="1" applyBorder="1" applyAlignment="1">
      <alignment horizontal="left"/>
    </xf>
    <xf numFmtId="0" fontId="4" fillId="12" borderId="35" xfId="0" applyFont="1" applyFill="1" applyBorder="1" applyAlignment="1">
      <alignment horizontal="left"/>
    </xf>
    <xf numFmtId="0" fontId="0" fillId="12" borderId="35" xfId="0" applyFill="1" applyBorder="1" applyAlignment="1">
      <alignment horizontal="left"/>
    </xf>
    <xf numFmtId="164" fontId="4" fillId="4" borderId="12" xfId="0" applyNumberFormat="1" applyFont="1" applyFill="1" applyBorder="1" applyAlignment="1" applyProtection="1">
      <alignment horizontal="center" vertical="top"/>
      <protection locked="0"/>
    </xf>
    <xf numFmtId="164" fontId="4" fillId="4" borderId="3" xfId="0" applyNumberFormat="1" applyFont="1" applyFill="1" applyBorder="1" applyAlignment="1" applyProtection="1">
      <alignment horizontal="center" vertical="top"/>
      <protection locked="0"/>
    </xf>
    <xf numFmtId="0" fontId="0" fillId="0" borderId="28" xfId="0" applyBorder="1" applyAlignment="1" applyProtection="1">
      <alignment horizontal="center"/>
    </xf>
    <xf numFmtId="0" fontId="0" fillId="0" borderId="29" xfId="0" applyBorder="1" applyAlignment="1" applyProtection="1">
      <alignment horizontal="center"/>
    </xf>
    <xf numFmtId="0" fontId="7" fillId="4" borderId="29" xfId="0" applyFont="1" applyFill="1" applyBorder="1" applyAlignment="1" applyProtection="1">
      <alignment horizontal="center"/>
      <protection locked="0"/>
    </xf>
    <xf numFmtId="0" fontId="7" fillId="4" borderId="30" xfId="0" applyFont="1" applyFill="1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</xf>
    <xf numFmtId="0" fontId="0" fillId="0" borderId="13" xfId="0" applyBorder="1" applyAlignment="1" applyProtection="1">
      <alignment horizontal="center"/>
    </xf>
    <xf numFmtId="0" fontId="4" fillId="0" borderId="32" xfId="0" applyFont="1" applyBorder="1" applyAlignment="1" applyProtection="1">
      <alignment horizontal="center"/>
    </xf>
    <xf numFmtId="0" fontId="0" fillId="0" borderId="27" xfId="0" applyBorder="1" applyAlignment="1" applyProtection="1">
      <alignment horizontal="center"/>
    </xf>
    <xf numFmtId="0" fontId="4" fillId="4" borderId="27" xfId="0" applyFont="1" applyFill="1" applyBorder="1" applyAlignment="1" applyProtection="1">
      <alignment horizontal="center"/>
      <protection locked="0"/>
    </xf>
    <xf numFmtId="0" fontId="4" fillId="4" borderId="33" xfId="0" applyFont="1" applyFill="1" applyBorder="1" applyAlignment="1" applyProtection="1">
      <alignment horizontal="center"/>
      <protection locked="0"/>
    </xf>
    <xf numFmtId="22" fontId="5" fillId="6" borderId="0" xfId="0" applyNumberFormat="1" applyFont="1" applyFill="1" applyBorder="1" applyAlignment="1">
      <alignment horizontal="left"/>
    </xf>
    <xf numFmtId="0" fontId="6" fillId="0" borderId="15" xfId="0" applyNumberFormat="1" applyFont="1" applyFill="1" applyBorder="1" applyAlignment="1">
      <alignment horizontal="right" vertical="top" textRotation="90"/>
    </xf>
    <xf numFmtId="0" fontId="4" fillId="7" borderId="5" xfId="0" applyFont="1" applyFill="1" applyBorder="1" applyAlignment="1" applyProtection="1">
      <alignment horizontal="center" wrapText="1"/>
    </xf>
    <xf numFmtId="0" fontId="4" fillId="7" borderId="5" xfId="0" applyFont="1" applyFill="1" applyBorder="1" applyAlignment="1" applyProtection="1">
      <alignment horizontal="center"/>
    </xf>
    <xf numFmtId="0" fontId="6" fillId="8" borderId="0" xfId="0" applyFont="1" applyFill="1" applyAlignment="1" applyProtection="1">
      <alignment horizontal="left"/>
    </xf>
    <xf numFmtId="0" fontId="5" fillId="4" borderId="13" xfId="0" applyFont="1" applyFill="1" applyBorder="1" applyAlignment="1" applyProtection="1">
      <alignment horizontal="center"/>
    </xf>
    <xf numFmtId="0" fontId="5" fillId="3" borderId="0" xfId="0" applyFont="1" applyFill="1" applyAlignment="1" applyProtection="1">
      <alignment horizontal="center"/>
    </xf>
    <xf numFmtId="0" fontId="4" fillId="5" borderId="5" xfId="0" applyFont="1" applyFill="1" applyBorder="1" applyAlignment="1" applyProtection="1">
      <alignment horizontal="center"/>
    </xf>
    <xf numFmtId="0" fontId="5" fillId="0" borderId="5" xfId="0" applyFont="1" applyBorder="1" applyAlignment="1" applyProtection="1">
      <alignment horizontal="center" vertical="center"/>
    </xf>
    <xf numFmtId="0" fontId="4" fillId="10" borderId="7" xfId="0" applyFont="1" applyFill="1" applyBorder="1" applyAlignment="1" applyProtection="1">
      <alignment horizontal="center"/>
    </xf>
    <xf numFmtId="0" fontId="4" fillId="10" borderId="24" xfId="0" applyFont="1" applyFill="1" applyBorder="1" applyAlignment="1" applyProtection="1">
      <alignment horizontal="center"/>
    </xf>
    <xf numFmtId="0" fontId="4" fillId="6" borderId="8" xfId="0" applyFont="1" applyFill="1" applyBorder="1" applyAlignment="1" applyProtection="1">
      <alignment horizontal="center"/>
    </xf>
    <xf numFmtId="0" fontId="4" fillId="6" borderId="4" xfId="0" applyFont="1" applyFill="1" applyBorder="1" applyAlignment="1" applyProtection="1">
      <alignment horizontal="center"/>
    </xf>
    <xf numFmtId="0" fontId="4" fillId="6" borderId="25" xfId="0" applyFont="1" applyFill="1" applyBorder="1" applyAlignment="1" applyProtection="1">
      <alignment horizontal="center"/>
    </xf>
    <xf numFmtId="0" fontId="4" fillId="6" borderId="14" xfId="0" applyFont="1" applyFill="1" applyBorder="1" applyAlignment="1" applyProtection="1">
      <alignment horizontal="center"/>
    </xf>
    <xf numFmtId="0" fontId="4" fillId="11" borderId="0" xfId="0" applyFont="1" applyFill="1" applyAlignment="1">
      <alignment horizontal="left"/>
    </xf>
    <xf numFmtId="0" fontId="4" fillId="14" borderId="0" xfId="0" applyFont="1" applyFill="1" applyBorder="1"/>
    <xf numFmtId="22" fontId="4" fillId="14" borderId="0" xfId="0" applyNumberFormat="1" applyFont="1" applyFill="1" applyBorder="1"/>
    <xf numFmtId="0" fontId="4" fillId="14" borderId="0" xfId="0" applyFont="1" applyFill="1" applyBorder="1" applyAlignment="1">
      <alignment horizontal="left"/>
    </xf>
    <xf numFmtId="0" fontId="11" fillId="14" borderId="0" xfId="0" applyFont="1" applyFill="1" applyBorder="1"/>
  </cellXfs>
  <cellStyles count="4">
    <cellStyle name="Standaard" xfId="0" builtinId="0"/>
    <cellStyle name="Standaard 2" xfId="1"/>
    <cellStyle name="Standaard 3" xfId="2"/>
    <cellStyle name="Standaard 4" xfId="3"/>
  </cellStyles>
  <dxfs count="1"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DCBF44"/>
      <color rgb="FF6464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981075</xdr:colOff>
          <xdr:row>6</xdr:row>
          <xdr:rowOff>0</xdr:rowOff>
        </xdr:from>
        <xdr:to>
          <xdr:col>3</xdr:col>
          <xdr:colOff>57150</xdr:colOff>
          <xdr:row>7</xdr:row>
          <xdr:rowOff>28575</xdr:rowOff>
        </xdr:to>
        <xdr:sp macro="" textlink="">
          <xdr:nvSpPr>
            <xdr:cNvPr id="1026" name="Rou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12</xdr:row>
          <xdr:rowOff>114300</xdr:rowOff>
        </xdr:from>
        <xdr:to>
          <xdr:col>2</xdr:col>
          <xdr:colOff>152400</xdr:colOff>
          <xdr:row>15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Zoek maximale diepgang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9525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8" name="ScheepsTyp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0</xdr:row>
          <xdr:rowOff>180975</xdr:rowOff>
        </xdr:from>
        <xdr:to>
          <xdr:col>12</xdr:col>
          <xdr:colOff>266700</xdr:colOff>
          <xdr:row>2</xdr:row>
          <xdr:rowOff>219075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Finaliseer reis (voor statistiek)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190500</xdr:rowOff>
        </xdr:from>
        <xdr:to>
          <xdr:col>5</xdr:col>
          <xdr:colOff>752475</xdr:colOff>
          <xdr:row>9</xdr:row>
          <xdr:rowOff>28575</xdr:rowOff>
        </xdr:to>
        <xdr:sp macro="" textlink="">
          <xdr:nvSpPr>
            <xdr:cNvPr id="1031" name="Waypointsbox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14</xdr:row>
          <xdr:rowOff>19050</xdr:rowOff>
        </xdr:from>
        <xdr:to>
          <xdr:col>5</xdr:col>
          <xdr:colOff>47625</xdr:colOff>
          <xdr:row>15</xdr:row>
          <xdr:rowOff>104775</xdr:rowOff>
        </xdr:to>
        <xdr:sp macro="" textlink="">
          <xdr:nvSpPr>
            <xdr:cNvPr id="1032" name="WaypointWindowbox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9</xdr:row>
          <xdr:rowOff>28575</xdr:rowOff>
        </xdr:from>
        <xdr:to>
          <xdr:col>5</xdr:col>
          <xdr:colOff>752475</xdr:colOff>
          <xdr:row>10</xdr:row>
          <xdr:rowOff>66675</xdr:rowOff>
        </xdr:to>
        <xdr:sp macro="" textlink="">
          <xdr:nvSpPr>
            <xdr:cNvPr id="1033" name="Waypointbox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3175</xdr:colOff>
      <xdr:row>17</xdr:row>
      <xdr:rowOff>53975</xdr:rowOff>
    </xdr:from>
    <xdr:to>
      <xdr:col>7</xdr:col>
      <xdr:colOff>66675</xdr:colOff>
      <xdr:row>40</xdr:row>
      <xdr:rowOff>136525</xdr:rowOff>
    </xdr:to>
    <xdr:sp macro="" textlink="">
      <xdr:nvSpPr>
        <xdr:cNvPr id="2" name="Rechthoek 1"/>
        <xdr:cNvSpPr/>
      </xdr:nvSpPr>
      <xdr:spPr>
        <a:xfrm>
          <a:off x="706120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6</xdr:col>
      <xdr:colOff>679930</xdr:colOff>
      <xdr:row>15</xdr:row>
      <xdr:rowOff>116722</xdr:rowOff>
    </xdr:from>
    <xdr:to>
      <xdr:col>7</xdr:col>
      <xdr:colOff>154540</xdr:colOff>
      <xdr:row>17</xdr:row>
      <xdr:rowOff>19932</xdr:rowOff>
    </xdr:to>
    <xdr:sp macro="" textlink="">
      <xdr:nvSpPr>
        <xdr:cNvPr id="3" name="Tekstvak 2"/>
        <xdr:cNvSpPr txBox="1"/>
      </xdr:nvSpPr>
      <xdr:spPr>
        <a:xfrm rot="-3000000">
          <a:off x="6956917" y="2888485"/>
          <a:ext cx="293735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KB</a:t>
          </a:r>
        </a:p>
      </xdr:txBody>
    </xdr:sp>
    <xdr:clientData/>
  </xdr:twoCellAnchor>
  <xdr:twoCellAnchor editAs="absolute">
    <xdr:from>
      <xdr:col>8</xdr:col>
      <xdr:colOff>92075</xdr:colOff>
      <xdr:row>17</xdr:row>
      <xdr:rowOff>53975</xdr:rowOff>
    </xdr:from>
    <xdr:to>
      <xdr:col>8</xdr:col>
      <xdr:colOff>155575</xdr:colOff>
      <xdr:row>40</xdr:row>
      <xdr:rowOff>136525</xdr:rowOff>
    </xdr:to>
    <xdr:sp macro="" textlink="">
      <xdr:nvSpPr>
        <xdr:cNvPr id="4" name="Rechthoek 3"/>
        <xdr:cNvSpPr/>
      </xdr:nvSpPr>
      <xdr:spPr>
        <a:xfrm>
          <a:off x="7759700" y="3178175"/>
          <a:ext cx="63500" cy="380682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51102</xdr:colOff>
      <xdr:row>15</xdr:row>
      <xdr:rowOff>62633</xdr:rowOff>
    </xdr:from>
    <xdr:to>
      <xdr:col>8</xdr:col>
      <xdr:colOff>268662</xdr:colOff>
      <xdr:row>17</xdr:row>
      <xdr:rowOff>31694</xdr:rowOff>
    </xdr:to>
    <xdr:sp macro="" textlink="">
      <xdr:nvSpPr>
        <xdr:cNvPr id="5" name="Tekstvak 4"/>
        <xdr:cNvSpPr txBox="1"/>
      </xdr:nvSpPr>
      <xdr:spPr>
        <a:xfrm rot="-3000000">
          <a:off x="7647714" y="2867321"/>
          <a:ext cx="35958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VG1</a:t>
          </a:r>
        </a:p>
      </xdr:txBody>
    </xdr:sp>
    <xdr:clientData/>
  </xdr:twoCellAnchor>
  <xdr:twoCellAnchor editAs="absolute">
    <xdr:from>
      <xdr:col>8</xdr:col>
      <xdr:colOff>564515</xdr:colOff>
      <xdr:row>17</xdr:row>
      <xdr:rowOff>68587</xdr:rowOff>
    </xdr:from>
    <xdr:to>
      <xdr:col>8</xdr:col>
      <xdr:colOff>628015</xdr:colOff>
      <xdr:row>40</xdr:row>
      <xdr:rowOff>131960</xdr:rowOff>
    </xdr:to>
    <xdr:sp macro="" textlink="">
      <xdr:nvSpPr>
        <xdr:cNvPr id="6" name="Rechthoek 5"/>
        <xdr:cNvSpPr/>
      </xdr:nvSpPr>
      <xdr:spPr>
        <a:xfrm>
          <a:off x="8232140" y="3192787"/>
          <a:ext cx="63500" cy="378764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8</xdr:col>
      <xdr:colOff>512711</xdr:colOff>
      <xdr:row>15</xdr:row>
      <xdr:rowOff>85859</xdr:rowOff>
    </xdr:from>
    <xdr:to>
      <xdr:col>8</xdr:col>
      <xdr:colOff>730271</xdr:colOff>
      <xdr:row>17</xdr:row>
      <xdr:rowOff>26643</xdr:rowOff>
    </xdr:to>
    <xdr:sp macro="" textlink="">
      <xdr:nvSpPr>
        <xdr:cNvPr id="7" name="Tekstvak 6"/>
        <xdr:cNvSpPr txBox="1"/>
      </xdr:nvSpPr>
      <xdr:spPr>
        <a:xfrm rot="-3000000">
          <a:off x="8123461" y="2876409"/>
          <a:ext cx="33130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vg3</a:t>
          </a:r>
        </a:p>
      </xdr:txBody>
    </xdr:sp>
    <xdr:clientData/>
  </xdr:twoCellAnchor>
  <xdr:twoCellAnchor editAs="absolute">
    <xdr:from>
      <xdr:col>9</xdr:col>
      <xdr:colOff>181610</xdr:colOff>
      <xdr:row>17</xdr:row>
      <xdr:rowOff>57743</xdr:rowOff>
    </xdr:from>
    <xdr:to>
      <xdr:col>9</xdr:col>
      <xdr:colOff>245110</xdr:colOff>
      <xdr:row>40</xdr:row>
      <xdr:rowOff>121117</xdr:rowOff>
    </xdr:to>
    <xdr:sp macro="" textlink="">
      <xdr:nvSpPr>
        <xdr:cNvPr id="8" name="Rechthoek 7"/>
        <xdr:cNvSpPr/>
      </xdr:nvSpPr>
      <xdr:spPr>
        <a:xfrm>
          <a:off x="8639810" y="3181943"/>
          <a:ext cx="63500" cy="378764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129807</xdr:colOff>
      <xdr:row>15</xdr:row>
      <xdr:rowOff>85859</xdr:rowOff>
    </xdr:from>
    <xdr:to>
      <xdr:col>9</xdr:col>
      <xdr:colOff>347367</xdr:colOff>
      <xdr:row>17</xdr:row>
      <xdr:rowOff>26643</xdr:rowOff>
    </xdr:to>
    <xdr:sp macro="" textlink="">
      <xdr:nvSpPr>
        <xdr:cNvPr id="9" name="Tekstvak 8"/>
        <xdr:cNvSpPr txBox="1"/>
      </xdr:nvSpPr>
      <xdr:spPr>
        <a:xfrm rot="-3000000">
          <a:off x="8531132" y="2876409"/>
          <a:ext cx="33130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vg7</a:t>
          </a:r>
        </a:p>
      </xdr:txBody>
    </xdr:sp>
    <xdr:clientData/>
  </xdr:twoCellAnchor>
  <xdr:twoCellAnchor editAs="absolute">
    <xdr:from>
      <xdr:col>9</xdr:col>
      <xdr:colOff>365760</xdr:colOff>
      <xdr:row>17</xdr:row>
      <xdr:rowOff>66799</xdr:rowOff>
    </xdr:from>
    <xdr:to>
      <xdr:col>9</xdr:col>
      <xdr:colOff>429260</xdr:colOff>
      <xdr:row>40</xdr:row>
      <xdr:rowOff>130172</xdr:rowOff>
    </xdr:to>
    <xdr:sp macro="" textlink="">
      <xdr:nvSpPr>
        <xdr:cNvPr id="10" name="Rechthoek 9"/>
        <xdr:cNvSpPr/>
      </xdr:nvSpPr>
      <xdr:spPr>
        <a:xfrm>
          <a:off x="8823960" y="3190999"/>
          <a:ext cx="63500" cy="378764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9</xdr:col>
      <xdr:colOff>295758</xdr:colOff>
      <xdr:row>15</xdr:row>
      <xdr:rowOff>124886</xdr:rowOff>
    </xdr:from>
    <xdr:to>
      <xdr:col>9</xdr:col>
      <xdr:colOff>513318</xdr:colOff>
      <xdr:row>17</xdr:row>
      <xdr:rowOff>18157</xdr:rowOff>
    </xdr:to>
    <xdr:sp macro="" textlink="">
      <xdr:nvSpPr>
        <xdr:cNvPr id="11" name="Tekstvak 10"/>
        <xdr:cNvSpPr txBox="1"/>
      </xdr:nvSpPr>
      <xdr:spPr>
        <a:xfrm rot="-3000000">
          <a:off x="8720840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S3</a:t>
          </a:r>
        </a:p>
      </xdr:txBody>
    </xdr:sp>
    <xdr:clientData/>
  </xdr:twoCellAnchor>
  <xdr:twoCellAnchor editAs="absolute">
    <xdr:from>
      <xdr:col>10</xdr:col>
      <xdr:colOff>214630</xdr:colOff>
      <xdr:row>39</xdr:row>
      <xdr:rowOff>124195</xdr:rowOff>
    </xdr:from>
    <xdr:to>
      <xdr:col>10</xdr:col>
      <xdr:colOff>278130</xdr:colOff>
      <xdr:row>40</xdr:row>
      <xdr:rowOff>122544</xdr:rowOff>
    </xdr:to>
    <xdr:sp macro="" textlink="">
      <xdr:nvSpPr>
        <xdr:cNvPr id="12" name="Rechthoek 11"/>
        <xdr:cNvSpPr/>
      </xdr:nvSpPr>
      <xdr:spPr>
        <a:xfrm>
          <a:off x="9282430" y="6810745"/>
          <a:ext cx="63500" cy="16027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214630</xdr:colOff>
      <xdr:row>32</xdr:row>
      <xdr:rowOff>106650</xdr:rowOff>
    </xdr:from>
    <xdr:to>
      <xdr:col>10</xdr:col>
      <xdr:colOff>278130</xdr:colOff>
      <xdr:row>39</xdr:row>
      <xdr:rowOff>124176</xdr:rowOff>
    </xdr:to>
    <xdr:sp macro="" textlink="">
      <xdr:nvSpPr>
        <xdr:cNvPr id="13" name="Rechthoek 12"/>
        <xdr:cNvSpPr/>
      </xdr:nvSpPr>
      <xdr:spPr>
        <a:xfrm>
          <a:off x="9282430" y="5659725"/>
          <a:ext cx="63500" cy="115100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214630</xdr:colOff>
      <xdr:row>30</xdr:row>
      <xdr:rowOff>81060</xdr:rowOff>
    </xdr:from>
    <xdr:to>
      <xdr:col>10</xdr:col>
      <xdr:colOff>278130</xdr:colOff>
      <xdr:row>32</xdr:row>
      <xdr:rowOff>106587</xdr:rowOff>
    </xdr:to>
    <xdr:sp macro="" textlink="">
      <xdr:nvSpPr>
        <xdr:cNvPr id="14" name="Rechthoek 13"/>
        <xdr:cNvSpPr/>
      </xdr:nvSpPr>
      <xdr:spPr>
        <a:xfrm>
          <a:off x="9282430" y="5310285"/>
          <a:ext cx="63500" cy="34937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214630</xdr:colOff>
      <xdr:row>23</xdr:row>
      <xdr:rowOff>48935</xdr:rowOff>
    </xdr:from>
    <xdr:to>
      <xdr:col>10</xdr:col>
      <xdr:colOff>278130</xdr:colOff>
      <xdr:row>30</xdr:row>
      <xdr:rowOff>81066</xdr:rowOff>
    </xdr:to>
    <xdr:sp macro="" textlink="">
      <xdr:nvSpPr>
        <xdr:cNvPr id="15" name="Rechthoek 14"/>
        <xdr:cNvSpPr/>
      </xdr:nvSpPr>
      <xdr:spPr>
        <a:xfrm>
          <a:off x="9282430" y="4144685"/>
          <a:ext cx="63500" cy="116560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214630</xdr:colOff>
      <xdr:row>21</xdr:row>
      <xdr:rowOff>142069</xdr:rowOff>
    </xdr:from>
    <xdr:to>
      <xdr:col>10</xdr:col>
      <xdr:colOff>278130</xdr:colOff>
      <xdr:row>23</xdr:row>
      <xdr:rowOff>48978</xdr:rowOff>
    </xdr:to>
    <xdr:sp macro="" textlink="">
      <xdr:nvSpPr>
        <xdr:cNvPr id="16" name="Rechthoek 15"/>
        <xdr:cNvSpPr/>
      </xdr:nvSpPr>
      <xdr:spPr>
        <a:xfrm>
          <a:off x="9282430" y="3913969"/>
          <a:ext cx="63500" cy="23075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214630</xdr:colOff>
      <xdr:row>17</xdr:row>
      <xdr:rowOff>59166</xdr:rowOff>
    </xdr:from>
    <xdr:to>
      <xdr:col>10</xdr:col>
      <xdr:colOff>278130</xdr:colOff>
      <xdr:row>21</xdr:row>
      <xdr:rowOff>142097</xdr:rowOff>
    </xdr:to>
    <xdr:sp macro="" textlink="">
      <xdr:nvSpPr>
        <xdr:cNvPr id="17" name="Rechthoek 16"/>
        <xdr:cNvSpPr/>
      </xdr:nvSpPr>
      <xdr:spPr>
        <a:xfrm>
          <a:off x="9282430" y="3183366"/>
          <a:ext cx="63500" cy="73063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143105</xdr:colOff>
      <xdr:row>15</xdr:row>
      <xdr:rowOff>128152</xdr:rowOff>
    </xdr:from>
    <xdr:to>
      <xdr:col>10</xdr:col>
      <xdr:colOff>360665</xdr:colOff>
      <xdr:row>17</xdr:row>
      <xdr:rowOff>17447</xdr:rowOff>
    </xdr:to>
    <xdr:sp macro="" textlink="">
      <xdr:nvSpPr>
        <xdr:cNvPr id="18" name="Tekstvak 17"/>
        <xdr:cNvSpPr txBox="1"/>
      </xdr:nvSpPr>
      <xdr:spPr>
        <a:xfrm rot="-3000000">
          <a:off x="9179775" y="2892957"/>
          <a:ext cx="27982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SZ</a:t>
          </a:r>
        </a:p>
      </xdr:txBody>
    </xdr:sp>
    <xdr:clientData/>
  </xdr:twoCellAnchor>
  <xdr:twoCellAnchor editAs="absolute">
    <xdr:from>
      <xdr:col>10</xdr:col>
      <xdr:colOff>313690</xdr:colOff>
      <xdr:row>39</xdr:row>
      <xdr:rowOff>119004</xdr:rowOff>
    </xdr:from>
    <xdr:to>
      <xdr:col>10</xdr:col>
      <xdr:colOff>377190</xdr:colOff>
      <xdr:row>40</xdr:row>
      <xdr:rowOff>136530</xdr:rowOff>
    </xdr:to>
    <xdr:sp macro="" textlink="">
      <xdr:nvSpPr>
        <xdr:cNvPr id="19" name="Rechthoek 18"/>
        <xdr:cNvSpPr/>
      </xdr:nvSpPr>
      <xdr:spPr>
        <a:xfrm>
          <a:off x="9381490" y="6805554"/>
          <a:ext cx="63500" cy="17945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313690</xdr:colOff>
      <xdr:row>32</xdr:row>
      <xdr:rowOff>101459</xdr:rowOff>
    </xdr:from>
    <xdr:to>
      <xdr:col>10</xdr:col>
      <xdr:colOff>377190</xdr:colOff>
      <xdr:row>39</xdr:row>
      <xdr:rowOff>118985</xdr:rowOff>
    </xdr:to>
    <xdr:sp macro="" textlink="">
      <xdr:nvSpPr>
        <xdr:cNvPr id="20" name="Rechthoek 19"/>
        <xdr:cNvSpPr/>
      </xdr:nvSpPr>
      <xdr:spPr>
        <a:xfrm>
          <a:off x="9381490" y="5654534"/>
          <a:ext cx="63500" cy="115100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313690</xdr:colOff>
      <xdr:row>30</xdr:row>
      <xdr:rowOff>75869</xdr:rowOff>
    </xdr:from>
    <xdr:to>
      <xdr:col>10</xdr:col>
      <xdr:colOff>377190</xdr:colOff>
      <xdr:row>32</xdr:row>
      <xdr:rowOff>101397</xdr:rowOff>
    </xdr:to>
    <xdr:sp macro="" textlink="">
      <xdr:nvSpPr>
        <xdr:cNvPr id="21" name="Rechthoek 20"/>
        <xdr:cNvSpPr/>
      </xdr:nvSpPr>
      <xdr:spPr>
        <a:xfrm>
          <a:off x="9381490" y="5305094"/>
          <a:ext cx="63500" cy="34937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313690</xdr:colOff>
      <xdr:row>23</xdr:row>
      <xdr:rowOff>43744</xdr:rowOff>
    </xdr:from>
    <xdr:to>
      <xdr:col>10</xdr:col>
      <xdr:colOff>377190</xdr:colOff>
      <xdr:row>30</xdr:row>
      <xdr:rowOff>75875</xdr:rowOff>
    </xdr:to>
    <xdr:sp macro="" textlink="">
      <xdr:nvSpPr>
        <xdr:cNvPr id="22" name="Rechthoek 21"/>
        <xdr:cNvSpPr/>
      </xdr:nvSpPr>
      <xdr:spPr>
        <a:xfrm>
          <a:off x="9381490" y="4139494"/>
          <a:ext cx="63500" cy="116560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313690</xdr:colOff>
      <xdr:row>21</xdr:row>
      <xdr:rowOff>136878</xdr:rowOff>
    </xdr:from>
    <xdr:to>
      <xdr:col>10</xdr:col>
      <xdr:colOff>377190</xdr:colOff>
      <xdr:row>23</xdr:row>
      <xdr:rowOff>43787</xdr:rowOff>
    </xdr:to>
    <xdr:sp macro="" textlink="">
      <xdr:nvSpPr>
        <xdr:cNvPr id="23" name="Rechthoek 22"/>
        <xdr:cNvSpPr/>
      </xdr:nvSpPr>
      <xdr:spPr>
        <a:xfrm>
          <a:off x="9381490" y="3908778"/>
          <a:ext cx="63500" cy="23075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313690</xdr:colOff>
      <xdr:row>17</xdr:row>
      <xdr:rowOff>53975</xdr:rowOff>
    </xdr:from>
    <xdr:to>
      <xdr:col>10</xdr:col>
      <xdr:colOff>377190</xdr:colOff>
      <xdr:row>21</xdr:row>
      <xdr:rowOff>136906</xdr:rowOff>
    </xdr:to>
    <xdr:sp macro="" textlink="">
      <xdr:nvSpPr>
        <xdr:cNvPr id="24" name="Rechthoek 23"/>
        <xdr:cNvSpPr/>
      </xdr:nvSpPr>
      <xdr:spPr>
        <a:xfrm>
          <a:off x="9381490" y="3178175"/>
          <a:ext cx="63500" cy="73063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10</xdr:col>
      <xdr:colOff>243688</xdr:colOff>
      <xdr:row>15</xdr:row>
      <xdr:rowOff>124886</xdr:rowOff>
    </xdr:from>
    <xdr:to>
      <xdr:col>10</xdr:col>
      <xdr:colOff>461248</xdr:colOff>
      <xdr:row>17</xdr:row>
      <xdr:rowOff>18157</xdr:rowOff>
    </xdr:to>
    <xdr:sp macro="" textlink="">
      <xdr:nvSpPr>
        <xdr:cNvPr id="25" name="Tekstvak 24"/>
        <xdr:cNvSpPr txBox="1"/>
      </xdr:nvSpPr>
      <xdr:spPr>
        <a:xfrm rot="-3000000">
          <a:off x="9278370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S7</a:t>
          </a:r>
        </a:p>
      </xdr:txBody>
    </xdr:sp>
    <xdr:clientData/>
  </xdr:twoCellAnchor>
  <xdr:twoCellAnchor editAs="absolute">
    <xdr:from>
      <xdr:col>11</xdr:col>
      <xdr:colOff>205740</xdr:colOff>
      <xdr:row>39</xdr:row>
      <xdr:rowOff>101059</xdr:rowOff>
    </xdr:from>
    <xdr:to>
      <xdr:col>11</xdr:col>
      <xdr:colOff>269240</xdr:colOff>
      <xdr:row>40</xdr:row>
      <xdr:rowOff>134587</xdr:rowOff>
    </xdr:to>
    <xdr:sp macro="" textlink="">
      <xdr:nvSpPr>
        <xdr:cNvPr id="26" name="Rechthoek 25"/>
        <xdr:cNvSpPr/>
      </xdr:nvSpPr>
      <xdr:spPr>
        <a:xfrm>
          <a:off x="9883140" y="6787609"/>
          <a:ext cx="63500" cy="19545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205740</xdr:colOff>
      <xdr:row>32</xdr:row>
      <xdr:rowOff>76465</xdr:rowOff>
    </xdr:from>
    <xdr:to>
      <xdr:col>11</xdr:col>
      <xdr:colOff>269240</xdr:colOff>
      <xdr:row>39</xdr:row>
      <xdr:rowOff>101102</xdr:rowOff>
    </xdr:to>
    <xdr:sp macro="" textlink="">
      <xdr:nvSpPr>
        <xdr:cNvPr id="27" name="Rechthoek 26"/>
        <xdr:cNvSpPr/>
      </xdr:nvSpPr>
      <xdr:spPr>
        <a:xfrm>
          <a:off x="9883140" y="5629540"/>
          <a:ext cx="63500" cy="115811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205740</xdr:colOff>
      <xdr:row>30</xdr:row>
      <xdr:rowOff>57124</xdr:rowOff>
    </xdr:from>
    <xdr:to>
      <xdr:col>11</xdr:col>
      <xdr:colOff>269240</xdr:colOff>
      <xdr:row>32</xdr:row>
      <xdr:rowOff>76428</xdr:rowOff>
    </xdr:to>
    <xdr:sp macro="" textlink="">
      <xdr:nvSpPr>
        <xdr:cNvPr id="28" name="Rechthoek 27"/>
        <xdr:cNvSpPr/>
      </xdr:nvSpPr>
      <xdr:spPr>
        <a:xfrm>
          <a:off x="9883140" y="5286349"/>
          <a:ext cx="63500" cy="34315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205740</xdr:colOff>
      <xdr:row>23</xdr:row>
      <xdr:rowOff>18750</xdr:rowOff>
    </xdr:from>
    <xdr:to>
      <xdr:col>11</xdr:col>
      <xdr:colOff>269240</xdr:colOff>
      <xdr:row>30</xdr:row>
      <xdr:rowOff>57104</xdr:rowOff>
    </xdr:to>
    <xdr:sp macro="" textlink="">
      <xdr:nvSpPr>
        <xdr:cNvPr id="29" name="Rechthoek 28"/>
        <xdr:cNvSpPr/>
      </xdr:nvSpPr>
      <xdr:spPr>
        <a:xfrm>
          <a:off x="9883140" y="4114500"/>
          <a:ext cx="63500" cy="117182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205740</xdr:colOff>
      <xdr:row>21</xdr:row>
      <xdr:rowOff>119574</xdr:rowOff>
    </xdr:from>
    <xdr:to>
      <xdr:col>11</xdr:col>
      <xdr:colOff>269240</xdr:colOff>
      <xdr:row>23</xdr:row>
      <xdr:rowOff>18736</xdr:rowOff>
    </xdr:to>
    <xdr:sp macro="" textlink="">
      <xdr:nvSpPr>
        <xdr:cNvPr id="30" name="Rechthoek 29"/>
        <xdr:cNvSpPr/>
      </xdr:nvSpPr>
      <xdr:spPr>
        <a:xfrm>
          <a:off x="9883140" y="3891474"/>
          <a:ext cx="63500" cy="22301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205740</xdr:colOff>
      <xdr:row>17</xdr:row>
      <xdr:rowOff>71279</xdr:rowOff>
    </xdr:from>
    <xdr:to>
      <xdr:col>11</xdr:col>
      <xdr:colOff>269240</xdr:colOff>
      <xdr:row>21</xdr:row>
      <xdr:rowOff>119539</xdr:rowOff>
    </xdr:to>
    <xdr:sp macro="" textlink="">
      <xdr:nvSpPr>
        <xdr:cNvPr id="31" name="Rechthoek 30"/>
        <xdr:cNvSpPr/>
      </xdr:nvSpPr>
      <xdr:spPr>
        <a:xfrm>
          <a:off x="9883140" y="3195479"/>
          <a:ext cx="63500" cy="69596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135738</xdr:colOff>
      <xdr:row>15</xdr:row>
      <xdr:rowOff>124886</xdr:rowOff>
    </xdr:from>
    <xdr:to>
      <xdr:col>11</xdr:col>
      <xdr:colOff>353298</xdr:colOff>
      <xdr:row>17</xdr:row>
      <xdr:rowOff>18157</xdr:rowOff>
    </xdr:to>
    <xdr:sp macro="" textlink="">
      <xdr:nvSpPr>
        <xdr:cNvPr id="1024" name="Tekstvak 1023"/>
        <xdr:cNvSpPr txBox="1"/>
      </xdr:nvSpPr>
      <xdr:spPr>
        <a:xfrm rot="-3000000">
          <a:off x="9780020" y="2891679"/>
          <a:ext cx="28379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S9</a:t>
          </a:r>
        </a:p>
      </xdr:txBody>
    </xdr:sp>
    <xdr:clientData/>
  </xdr:twoCellAnchor>
  <xdr:twoCellAnchor editAs="absolute">
    <xdr:from>
      <xdr:col>11</xdr:col>
      <xdr:colOff>356870</xdr:colOff>
      <xdr:row>39</xdr:row>
      <xdr:rowOff>16371</xdr:rowOff>
    </xdr:from>
    <xdr:to>
      <xdr:col>11</xdr:col>
      <xdr:colOff>420370</xdr:colOff>
      <xdr:row>40</xdr:row>
      <xdr:rowOff>134608</xdr:rowOff>
    </xdr:to>
    <xdr:sp macro="" textlink="">
      <xdr:nvSpPr>
        <xdr:cNvPr id="1025" name="Rechthoek 1024"/>
        <xdr:cNvSpPr/>
      </xdr:nvSpPr>
      <xdr:spPr>
        <a:xfrm>
          <a:off x="10034270" y="6702921"/>
          <a:ext cx="63500" cy="28016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356870</xdr:colOff>
      <xdr:row>33</xdr:row>
      <xdr:rowOff>26053</xdr:rowOff>
    </xdr:from>
    <xdr:to>
      <xdr:col>11</xdr:col>
      <xdr:colOff>420370</xdr:colOff>
      <xdr:row>39</xdr:row>
      <xdr:rowOff>16401</xdr:rowOff>
    </xdr:to>
    <xdr:sp macro="" textlink="">
      <xdr:nvSpPr>
        <xdr:cNvPr id="1030" name="Rechthoek 1029"/>
        <xdr:cNvSpPr/>
      </xdr:nvSpPr>
      <xdr:spPr>
        <a:xfrm>
          <a:off x="10034270" y="5741053"/>
          <a:ext cx="63500" cy="96189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356870</xdr:colOff>
      <xdr:row>29</xdr:row>
      <xdr:rowOff>151222</xdr:rowOff>
    </xdr:from>
    <xdr:to>
      <xdr:col>11</xdr:col>
      <xdr:colOff>420370</xdr:colOff>
      <xdr:row>33</xdr:row>
      <xdr:rowOff>26000</xdr:rowOff>
    </xdr:to>
    <xdr:sp macro="" textlink="">
      <xdr:nvSpPr>
        <xdr:cNvPr id="1034" name="Rechthoek 1033"/>
        <xdr:cNvSpPr/>
      </xdr:nvSpPr>
      <xdr:spPr>
        <a:xfrm>
          <a:off x="10034270" y="5218522"/>
          <a:ext cx="63500" cy="52247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356870</xdr:colOff>
      <xdr:row>23</xdr:row>
      <xdr:rowOff>126418</xdr:rowOff>
    </xdr:from>
    <xdr:to>
      <xdr:col>11</xdr:col>
      <xdr:colOff>420370</xdr:colOff>
      <xdr:row>29</xdr:row>
      <xdr:rowOff>151183</xdr:rowOff>
    </xdr:to>
    <xdr:sp macro="" textlink="">
      <xdr:nvSpPr>
        <xdr:cNvPr id="1035" name="Rechthoek 1034"/>
        <xdr:cNvSpPr/>
      </xdr:nvSpPr>
      <xdr:spPr>
        <a:xfrm>
          <a:off x="10034270" y="4222168"/>
          <a:ext cx="63500" cy="99631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356870</xdr:colOff>
      <xdr:row>21</xdr:row>
      <xdr:rowOff>25090</xdr:rowOff>
    </xdr:from>
    <xdr:to>
      <xdr:col>11</xdr:col>
      <xdr:colOff>420370</xdr:colOff>
      <xdr:row>23</xdr:row>
      <xdr:rowOff>126436</xdr:rowOff>
    </xdr:to>
    <xdr:sp macro="" textlink="">
      <xdr:nvSpPr>
        <xdr:cNvPr id="1036" name="Rechthoek 1035"/>
        <xdr:cNvSpPr/>
      </xdr:nvSpPr>
      <xdr:spPr>
        <a:xfrm>
          <a:off x="10034270" y="3796990"/>
          <a:ext cx="63500" cy="42519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356870</xdr:colOff>
      <xdr:row>17</xdr:row>
      <xdr:rowOff>71279</xdr:rowOff>
    </xdr:from>
    <xdr:to>
      <xdr:col>11</xdr:col>
      <xdr:colOff>420370</xdr:colOff>
      <xdr:row>21</xdr:row>
      <xdr:rowOff>25051</xdr:rowOff>
    </xdr:to>
    <xdr:sp macro="" textlink="">
      <xdr:nvSpPr>
        <xdr:cNvPr id="1037" name="Rechthoek 1036"/>
        <xdr:cNvSpPr/>
      </xdr:nvSpPr>
      <xdr:spPr>
        <a:xfrm>
          <a:off x="10034270" y="3195479"/>
          <a:ext cx="63500" cy="60147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11</xdr:col>
      <xdr:colOff>301899</xdr:colOff>
      <xdr:row>15</xdr:row>
      <xdr:rowOff>92654</xdr:rowOff>
    </xdr:from>
    <xdr:to>
      <xdr:col>11</xdr:col>
      <xdr:colOff>519459</xdr:colOff>
      <xdr:row>17</xdr:row>
      <xdr:rowOff>25166</xdr:rowOff>
    </xdr:to>
    <xdr:sp macro="" textlink="">
      <xdr:nvSpPr>
        <xdr:cNvPr id="1038" name="Tekstvak 1037"/>
        <xdr:cNvSpPr txBox="1"/>
      </xdr:nvSpPr>
      <xdr:spPr>
        <a:xfrm rot="-3000000">
          <a:off x="9926560" y="2879068"/>
          <a:ext cx="323037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SW</a:t>
          </a:r>
        </a:p>
      </xdr:txBody>
    </xdr:sp>
    <xdr:clientData/>
  </xdr:twoCellAnchor>
  <xdr:twoCellAnchor editAs="absolute">
    <xdr:from>
      <xdr:col>12</xdr:col>
      <xdr:colOff>95250</xdr:colOff>
      <xdr:row>38</xdr:row>
      <xdr:rowOff>151471</xdr:rowOff>
    </xdr:from>
    <xdr:to>
      <xdr:col>12</xdr:col>
      <xdr:colOff>158750</xdr:colOff>
      <xdr:row>40</xdr:row>
      <xdr:rowOff>128864</xdr:rowOff>
    </xdr:to>
    <xdr:sp macro="" textlink="">
      <xdr:nvSpPr>
        <xdr:cNvPr id="1039" name="Rechthoek 1038"/>
        <xdr:cNvSpPr/>
      </xdr:nvSpPr>
      <xdr:spPr>
        <a:xfrm>
          <a:off x="10382250" y="6676096"/>
          <a:ext cx="63500" cy="30124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95250</xdr:colOff>
      <xdr:row>33</xdr:row>
      <xdr:rowOff>46240</xdr:rowOff>
    </xdr:from>
    <xdr:to>
      <xdr:col>12</xdr:col>
      <xdr:colOff>158750</xdr:colOff>
      <xdr:row>38</xdr:row>
      <xdr:rowOff>151523</xdr:rowOff>
    </xdr:to>
    <xdr:sp macro="" textlink="">
      <xdr:nvSpPr>
        <xdr:cNvPr id="1040" name="Rechthoek 1039"/>
        <xdr:cNvSpPr/>
      </xdr:nvSpPr>
      <xdr:spPr>
        <a:xfrm>
          <a:off x="10382250" y="5761240"/>
          <a:ext cx="63500" cy="91490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95250</xdr:colOff>
      <xdr:row>29</xdr:row>
      <xdr:rowOff>125800</xdr:rowOff>
    </xdr:from>
    <xdr:to>
      <xdr:col>12</xdr:col>
      <xdr:colOff>158750</xdr:colOff>
      <xdr:row>33</xdr:row>
      <xdr:rowOff>46298</xdr:rowOff>
    </xdr:to>
    <xdr:sp macro="" textlink="">
      <xdr:nvSpPr>
        <xdr:cNvPr id="1041" name="Rechthoek 1040"/>
        <xdr:cNvSpPr/>
      </xdr:nvSpPr>
      <xdr:spPr>
        <a:xfrm>
          <a:off x="10382250" y="5193100"/>
          <a:ext cx="63500" cy="56819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95250</xdr:colOff>
      <xdr:row>23</xdr:row>
      <xdr:rowOff>154617</xdr:rowOff>
    </xdr:from>
    <xdr:to>
      <xdr:col>12</xdr:col>
      <xdr:colOff>158750</xdr:colOff>
      <xdr:row>29</xdr:row>
      <xdr:rowOff>125788</xdr:rowOff>
    </xdr:to>
    <xdr:sp macro="" textlink="">
      <xdr:nvSpPr>
        <xdr:cNvPr id="1042" name="Rechthoek 1041"/>
        <xdr:cNvSpPr/>
      </xdr:nvSpPr>
      <xdr:spPr>
        <a:xfrm>
          <a:off x="10382250" y="4250367"/>
          <a:ext cx="63500" cy="94272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95250</xdr:colOff>
      <xdr:row>20</xdr:row>
      <xdr:rowOff>153781</xdr:rowOff>
    </xdr:from>
    <xdr:to>
      <xdr:col>12</xdr:col>
      <xdr:colOff>158750</xdr:colOff>
      <xdr:row>23</xdr:row>
      <xdr:rowOff>154670</xdr:rowOff>
    </xdr:to>
    <xdr:sp macro="" textlink="">
      <xdr:nvSpPr>
        <xdr:cNvPr id="1043" name="Rechthoek 1042"/>
        <xdr:cNvSpPr/>
      </xdr:nvSpPr>
      <xdr:spPr>
        <a:xfrm>
          <a:off x="10382250" y="3763756"/>
          <a:ext cx="63500" cy="48666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95250</xdr:colOff>
      <xdr:row>17</xdr:row>
      <xdr:rowOff>65511</xdr:rowOff>
    </xdr:from>
    <xdr:to>
      <xdr:col>12</xdr:col>
      <xdr:colOff>158750</xdr:colOff>
      <xdr:row>20</xdr:row>
      <xdr:rowOff>153776</xdr:rowOff>
    </xdr:to>
    <xdr:sp macro="" textlink="">
      <xdr:nvSpPr>
        <xdr:cNvPr id="1044" name="Rechthoek 1043"/>
        <xdr:cNvSpPr/>
      </xdr:nvSpPr>
      <xdr:spPr>
        <a:xfrm>
          <a:off x="10382250" y="3189711"/>
          <a:ext cx="63500" cy="57404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109045</xdr:colOff>
      <xdr:row>14</xdr:row>
      <xdr:rowOff>107109</xdr:rowOff>
    </xdr:from>
    <xdr:to>
      <xdr:col>12</xdr:col>
      <xdr:colOff>326605</xdr:colOff>
      <xdr:row>17</xdr:row>
      <xdr:rowOff>57232</xdr:rowOff>
    </xdr:to>
    <xdr:sp macro="" textlink="">
      <xdr:nvSpPr>
        <xdr:cNvPr id="1045" name="Tekstvak 1044"/>
        <xdr:cNvSpPr txBox="1"/>
      </xdr:nvSpPr>
      <xdr:spPr>
        <a:xfrm rot="-3000000">
          <a:off x="10253538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W2-W3</a:t>
          </a:r>
        </a:p>
      </xdr:txBody>
    </xdr:sp>
    <xdr:clientData/>
  </xdr:twoCellAnchor>
  <xdr:twoCellAnchor editAs="absolute">
    <xdr:from>
      <xdr:col>12</xdr:col>
      <xdr:colOff>297180</xdr:colOff>
      <xdr:row>38</xdr:row>
      <xdr:rowOff>42521</xdr:rowOff>
    </xdr:from>
    <xdr:to>
      <xdr:col>12</xdr:col>
      <xdr:colOff>360680</xdr:colOff>
      <xdr:row>40</xdr:row>
      <xdr:rowOff>128881</xdr:rowOff>
    </xdr:to>
    <xdr:sp macro="" textlink="">
      <xdr:nvSpPr>
        <xdr:cNvPr id="1046" name="Rechthoek 1045"/>
        <xdr:cNvSpPr/>
      </xdr:nvSpPr>
      <xdr:spPr>
        <a:xfrm>
          <a:off x="10584180" y="6567146"/>
          <a:ext cx="63500" cy="41021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297180</xdr:colOff>
      <xdr:row>34</xdr:row>
      <xdr:rowOff>2344</xdr:rowOff>
    </xdr:from>
    <xdr:to>
      <xdr:col>12</xdr:col>
      <xdr:colOff>360680</xdr:colOff>
      <xdr:row>38</xdr:row>
      <xdr:rowOff>42476</xdr:rowOff>
    </xdr:to>
    <xdr:sp macro="" textlink="">
      <xdr:nvSpPr>
        <xdr:cNvPr id="1047" name="Rechthoek 1046"/>
        <xdr:cNvSpPr/>
      </xdr:nvSpPr>
      <xdr:spPr>
        <a:xfrm>
          <a:off x="10584180" y="5879269"/>
          <a:ext cx="63500" cy="68783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297180</xdr:colOff>
      <xdr:row>29</xdr:row>
      <xdr:rowOff>25823</xdr:rowOff>
    </xdr:from>
    <xdr:to>
      <xdr:col>12</xdr:col>
      <xdr:colOff>360680</xdr:colOff>
      <xdr:row>34</xdr:row>
      <xdr:rowOff>2328</xdr:rowOff>
    </xdr:to>
    <xdr:sp macro="" textlink="">
      <xdr:nvSpPr>
        <xdr:cNvPr id="1048" name="Rechthoek 1047"/>
        <xdr:cNvSpPr/>
      </xdr:nvSpPr>
      <xdr:spPr>
        <a:xfrm>
          <a:off x="10584180" y="5093123"/>
          <a:ext cx="63500" cy="78613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297180</xdr:colOff>
      <xdr:row>24</xdr:row>
      <xdr:rowOff>128344</xdr:rowOff>
    </xdr:from>
    <xdr:to>
      <xdr:col>12</xdr:col>
      <xdr:colOff>360680</xdr:colOff>
      <xdr:row>29</xdr:row>
      <xdr:rowOff>25855</xdr:rowOff>
    </xdr:to>
    <xdr:sp macro="" textlink="">
      <xdr:nvSpPr>
        <xdr:cNvPr id="1049" name="Rechthoek 1048"/>
        <xdr:cNvSpPr/>
      </xdr:nvSpPr>
      <xdr:spPr>
        <a:xfrm>
          <a:off x="10584180" y="4386019"/>
          <a:ext cx="63500" cy="70713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297180</xdr:colOff>
      <xdr:row>20</xdr:row>
      <xdr:rowOff>24689</xdr:rowOff>
    </xdr:from>
    <xdr:to>
      <xdr:col>12</xdr:col>
      <xdr:colOff>360680</xdr:colOff>
      <xdr:row>24</xdr:row>
      <xdr:rowOff>128321</xdr:rowOff>
    </xdr:to>
    <xdr:sp macro="" textlink="">
      <xdr:nvSpPr>
        <xdr:cNvPr id="1050" name="Rechthoek 1049"/>
        <xdr:cNvSpPr/>
      </xdr:nvSpPr>
      <xdr:spPr>
        <a:xfrm>
          <a:off x="10584180" y="3634664"/>
          <a:ext cx="63500" cy="75133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297180</xdr:colOff>
      <xdr:row>17</xdr:row>
      <xdr:rowOff>65511</xdr:rowOff>
    </xdr:from>
    <xdr:to>
      <xdr:col>12</xdr:col>
      <xdr:colOff>360680</xdr:colOff>
      <xdr:row>20</xdr:row>
      <xdr:rowOff>24744</xdr:rowOff>
    </xdr:to>
    <xdr:sp macro="" textlink="">
      <xdr:nvSpPr>
        <xdr:cNvPr id="1051" name="Rechthoek 1050"/>
        <xdr:cNvSpPr/>
      </xdr:nvSpPr>
      <xdr:spPr>
        <a:xfrm>
          <a:off x="10584180" y="3189711"/>
          <a:ext cx="63500" cy="44500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310974</xdr:colOff>
      <xdr:row>14</xdr:row>
      <xdr:rowOff>107109</xdr:rowOff>
    </xdr:from>
    <xdr:to>
      <xdr:col>12</xdr:col>
      <xdr:colOff>528534</xdr:colOff>
      <xdr:row>17</xdr:row>
      <xdr:rowOff>57232</xdr:rowOff>
    </xdr:to>
    <xdr:sp macro="" textlink="">
      <xdr:nvSpPr>
        <xdr:cNvPr id="1052" name="Tekstvak 1051"/>
        <xdr:cNvSpPr txBox="1"/>
      </xdr:nvSpPr>
      <xdr:spPr>
        <a:xfrm rot="-3000000">
          <a:off x="10455467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W4-W5</a:t>
          </a:r>
        </a:p>
      </xdr:txBody>
    </xdr:sp>
    <xdr:clientData/>
  </xdr:twoCellAnchor>
  <xdr:twoCellAnchor editAs="absolute">
    <xdr:from>
      <xdr:col>12</xdr:col>
      <xdr:colOff>539750</xdr:colOff>
      <xdr:row>38</xdr:row>
      <xdr:rowOff>22868</xdr:rowOff>
    </xdr:from>
    <xdr:to>
      <xdr:col>12</xdr:col>
      <xdr:colOff>603250</xdr:colOff>
      <xdr:row>40</xdr:row>
      <xdr:rowOff>132723</xdr:rowOff>
    </xdr:to>
    <xdr:sp macro="" textlink="">
      <xdr:nvSpPr>
        <xdr:cNvPr id="1053" name="Rechthoek 1052"/>
        <xdr:cNvSpPr/>
      </xdr:nvSpPr>
      <xdr:spPr>
        <a:xfrm>
          <a:off x="10826750" y="6547493"/>
          <a:ext cx="63500" cy="43370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539750</xdr:colOff>
      <xdr:row>33</xdr:row>
      <xdr:rowOff>153427</xdr:rowOff>
    </xdr:from>
    <xdr:to>
      <xdr:col>12</xdr:col>
      <xdr:colOff>603250</xdr:colOff>
      <xdr:row>38</xdr:row>
      <xdr:rowOff>22871</xdr:rowOff>
    </xdr:to>
    <xdr:sp macro="" textlink="">
      <xdr:nvSpPr>
        <xdr:cNvPr id="1054" name="Rechthoek 1053"/>
        <xdr:cNvSpPr/>
      </xdr:nvSpPr>
      <xdr:spPr>
        <a:xfrm>
          <a:off x="10826750" y="5868427"/>
          <a:ext cx="63500" cy="67906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539750</xdr:colOff>
      <xdr:row>29</xdr:row>
      <xdr:rowOff>6597</xdr:rowOff>
    </xdr:from>
    <xdr:to>
      <xdr:col>12</xdr:col>
      <xdr:colOff>603250</xdr:colOff>
      <xdr:row>33</xdr:row>
      <xdr:rowOff>153409</xdr:rowOff>
    </xdr:to>
    <xdr:sp macro="" textlink="">
      <xdr:nvSpPr>
        <xdr:cNvPr id="1055" name="Rechthoek 1054"/>
        <xdr:cNvSpPr/>
      </xdr:nvSpPr>
      <xdr:spPr>
        <a:xfrm>
          <a:off x="10826750" y="5073897"/>
          <a:ext cx="63500" cy="79451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539750</xdr:colOff>
      <xdr:row>24</xdr:row>
      <xdr:rowOff>117236</xdr:rowOff>
    </xdr:from>
    <xdr:to>
      <xdr:col>12</xdr:col>
      <xdr:colOff>603250</xdr:colOff>
      <xdr:row>29</xdr:row>
      <xdr:rowOff>6619</xdr:rowOff>
    </xdr:to>
    <xdr:sp macro="" textlink="">
      <xdr:nvSpPr>
        <xdr:cNvPr id="1056" name="Rechthoek 1055"/>
        <xdr:cNvSpPr/>
      </xdr:nvSpPr>
      <xdr:spPr>
        <a:xfrm>
          <a:off x="10826750" y="4374911"/>
          <a:ext cx="63500" cy="69900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539750</xdr:colOff>
      <xdr:row>20</xdr:row>
      <xdr:rowOff>3815</xdr:rowOff>
    </xdr:from>
    <xdr:to>
      <xdr:col>12</xdr:col>
      <xdr:colOff>603250</xdr:colOff>
      <xdr:row>24</xdr:row>
      <xdr:rowOff>117226</xdr:rowOff>
    </xdr:to>
    <xdr:sp macro="" textlink="">
      <xdr:nvSpPr>
        <xdr:cNvPr id="1057" name="Rechthoek 1056"/>
        <xdr:cNvSpPr/>
      </xdr:nvSpPr>
      <xdr:spPr>
        <a:xfrm>
          <a:off x="10826750" y="3613790"/>
          <a:ext cx="63500" cy="76111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539750</xdr:colOff>
      <xdr:row>17</xdr:row>
      <xdr:rowOff>69356</xdr:rowOff>
    </xdr:from>
    <xdr:to>
      <xdr:col>12</xdr:col>
      <xdr:colOff>603250</xdr:colOff>
      <xdr:row>20</xdr:row>
      <xdr:rowOff>3824</xdr:rowOff>
    </xdr:to>
    <xdr:sp macro="" textlink="">
      <xdr:nvSpPr>
        <xdr:cNvPr id="1058" name="Rechthoek 1057"/>
        <xdr:cNvSpPr/>
      </xdr:nvSpPr>
      <xdr:spPr>
        <a:xfrm>
          <a:off x="10826750" y="3193556"/>
          <a:ext cx="63500" cy="42024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12</xdr:col>
      <xdr:colOff>553545</xdr:colOff>
      <xdr:row>14</xdr:row>
      <xdr:rowOff>107109</xdr:rowOff>
    </xdr:from>
    <xdr:to>
      <xdr:col>13</xdr:col>
      <xdr:colOff>161505</xdr:colOff>
      <xdr:row>17</xdr:row>
      <xdr:rowOff>57232</xdr:rowOff>
    </xdr:to>
    <xdr:sp macro="" textlink="">
      <xdr:nvSpPr>
        <xdr:cNvPr id="1059" name="Tekstvak 1058"/>
        <xdr:cNvSpPr txBox="1"/>
      </xdr:nvSpPr>
      <xdr:spPr>
        <a:xfrm rot="-3000000">
          <a:off x="10698038" y="2821366"/>
          <a:ext cx="50257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W6-W7</a:t>
          </a:r>
        </a:p>
      </xdr:txBody>
    </xdr:sp>
    <xdr:clientData/>
  </xdr:twoCellAnchor>
  <xdr:twoCellAnchor editAs="absolute">
    <xdr:from>
      <xdr:col>13</xdr:col>
      <xdr:colOff>450850</xdr:colOff>
      <xdr:row>38</xdr:row>
      <xdr:rowOff>71478</xdr:rowOff>
    </xdr:from>
    <xdr:to>
      <xdr:col>13</xdr:col>
      <xdr:colOff>514350</xdr:colOff>
      <xdr:row>40</xdr:row>
      <xdr:rowOff>136502</xdr:rowOff>
    </xdr:to>
    <xdr:sp macro="" textlink="">
      <xdr:nvSpPr>
        <xdr:cNvPr id="1060" name="Rechthoek 1059"/>
        <xdr:cNvSpPr/>
      </xdr:nvSpPr>
      <xdr:spPr>
        <a:xfrm>
          <a:off x="11347450" y="6596103"/>
          <a:ext cx="63500" cy="38887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450850</xdr:colOff>
      <xdr:row>33</xdr:row>
      <xdr:rowOff>69312</xdr:rowOff>
    </xdr:from>
    <xdr:to>
      <xdr:col>13</xdr:col>
      <xdr:colOff>514350</xdr:colOff>
      <xdr:row>38</xdr:row>
      <xdr:rowOff>71471</xdr:rowOff>
    </xdr:to>
    <xdr:sp macro="" textlink="">
      <xdr:nvSpPr>
        <xdr:cNvPr id="1061" name="Rechthoek 1060"/>
        <xdr:cNvSpPr/>
      </xdr:nvSpPr>
      <xdr:spPr>
        <a:xfrm>
          <a:off x="11347450" y="5784312"/>
          <a:ext cx="63500" cy="811784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450850</xdr:colOff>
      <xdr:row>29</xdr:row>
      <xdr:rowOff>60606</xdr:rowOff>
    </xdr:from>
    <xdr:to>
      <xdr:col>13</xdr:col>
      <xdr:colOff>514350</xdr:colOff>
      <xdr:row>33</xdr:row>
      <xdr:rowOff>69369</xdr:rowOff>
    </xdr:to>
    <xdr:sp macro="" textlink="">
      <xdr:nvSpPr>
        <xdr:cNvPr id="1062" name="Rechthoek 1061"/>
        <xdr:cNvSpPr/>
      </xdr:nvSpPr>
      <xdr:spPr>
        <a:xfrm>
          <a:off x="11347450" y="5127906"/>
          <a:ext cx="63500" cy="65646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450850</xdr:colOff>
      <xdr:row>24</xdr:row>
      <xdr:rowOff>28154</xdr:rowOff>
    </xdr:from>
    <xdr:to>
      <xdr:col>13</xdr:col>
      <xdr:colOff>514350</xdr:colOff>
      <xdr:row>29</xdr:row>
      <xdr:rowOff>60666</xdr:rowOff>
    </xdr:to>
    <xdr:sp macro="" textlink="">
      <xdr:nvSpPr>
        <xdr:cNvPr id="1063" name="Rechthoek 1062"/>
        <xdr:cNvSpPr/>
      </xdr:nvSpPr>
      <xdr:spPr>
        <a:xfrm>
          <a:off x="11347450" y="4285829"/>
          <a:ext cx="63500" cy="842137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450850</xdr:colOff>
      <xdr:row>20</xdr:row>
      <xdr:rowOff>64481</xdr:rowOff>
    </xdr:from>
    <xdr:to>
      <xdr:col>13</xdr:col>
      <xdr:colOff>514350</xdr:colOff>
      <xdr:row>24</xdr:row>
      <xdr:rowOff>28160</xdr:rowOff>
    </xdr:to>
    <xdr:sp macro="" textlink="">
      <xdr:nvSpPr>
        <xdr:cNvPr id="1064" name="Rechthoek 1063"/>
        <xdr:cNvSpPr/>
      </xdr:nvSpPr>
      <xdr:spPr>
        <a:xfrm>
          <a:off x="11347450" y="3674456"/>
          <a:ext cx="63500" cy="61137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450850</xdr:colOff>
      <xdr:row>17</xdr:row>
      <xdr:rowOff>53975</xdr:rowOff>
    </xdr:from>
    <xdr:to>
      <xdr:col>13</xdr:col>
      <xdr:colOff>514350</xdr:colOff>
      <xdr:row>20</xdr:row>
      <xdr:rowOff>64516</xdr:rowOff>
    </xdr:to>
    <xdr:sp macro="" textlink="">
      <xdr:nvSpPr>
        <xdr:cNvPr id="1065" name="Rechthoek 1064"/>
        <xdr:cNvSpPr/>
      </xdr:nvSpPr>
      <xdr:spPr>
        <a:xfrm>
          <a:off x="11347450" y="3178175"/>
          <a:ext cx="63500" cy="49631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13</xdr:col>
      <xdr:colOff>502319</xdr:colOff>
      <xdr:row>14</xdr:row>
      <xdr:rowOff>26316</xdr:rowOff>
    </xdr:from>
    <xdr:to>
      <xdr:col>14</xdr:col>
      <xdr:colOff>110279</xdr:colOff>
      <xdr:row>17</xdr:row>
      <xdr:rowOff>74800</xdr:rowOff>
    </xdr:to>
    <xdr:sp macro="" textlink="">
      <xdr:nvSpPr>
        <xdr:cNvPr id="1066" name="Tekstvak 1065"/>
        <xdr:cNvSpPr txBox="1"/>
      </xdr:nvSpPr>
      <xdr:spPr>
        <a:xfrm rot="-3000000">
          <a:off x="11207232" y="2789753"/>
          <a:ext cx="600934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Vlissingen</a:t>
          </a:r>
        </a:p>
      </xdr:txBody>
    </xdr:sp>
    <xdr:clientData/>
  </xdr:twoCellAnchor>
  <xdr:twoCellAnchor editAs="absolute">
    <xdr:from>
      <xdr:col>15</xdr:col>
      <xdr:colOff>133350</xdr:colOff>
      <xdr:row>38</xdr:row>
      <xdr:rowOff>60627</xdr:rowOff>
    </xdr:from>
    <xdr:to>
      <xdr:col>15</xdr:col>
      <xdr:colOff>196850</xdr:colOff>
      <xdr:row>40</xdr:row>
      <xdr:rowOff>136572</xdr:rowOff>
    </xdr:to>
    <xdr:sp macro="" textlink="">
      <xdr:nvSpPr>
        <xdr:cNvPr id="1067" name="Rechthoek 1066"/>
        <xdr:cNvSpPr/>
      </xdr:nvSpPr>
      <xdr:spPr>
        <a:xfrm>
          <a:off x="12249150" y="6585252"/>
          <a:ext cx="63500" cy="39979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133350</xdr:colOff>
      <xdr:row>33</xdr:row>
      <xdr:rowOff>33394</xdr:rowOff>
    </xdr:from>
    <xdr:to>
      <xdr:col>15</xdr:col>
      <xdr:colOff>196850</xdr:colOff>
      <xdr:row>38</xdr:row>
      <xdr:rowOff>60571</xdr:rowOff>
    </xdr:to>
    <xdr:sp macro="" textlink="">
      <xdr:nvSpPr>
        <xdr:cNvPr id="1068" name="Rechthoek 1067"/>
        <xdr:cNvSpPr/>
      </xdr:nvSpPr>
      <xdr:spPr>
        <a:xfrm>
          <a:off x="12249150" y="5748394"/>
          <a:ext cx="63500" cy="83680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133350</xdr:colOff>
      <xdr:row>29</xdr:row>
      <xdr:rowOff>58348</xdr:rowOff>
    </xdr:from>
    <xdr:to>
      <xdr:col>15</xdr:col>
      <xdr:colOff>196850</xdr:colOff>
      <xdr:row>33</xdr:row>
      <xdr:rowOff>33456</xdr:rowOff>
    </xdr:to>
    <xdr:sp macro="" textlink="">
      <xdr:nvSpPr>
        <xdr:cNvPr id="1069" name="Rechthoek 1068"/>
        <xdr:cNvSpPr/>
      </xdr:nvSpPr>
      <xdr:spPr>
        <a:xfrm>
          <a:off x="12249150" y="5125648"/>
          <a:ext cx="63500" cy="62280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133350</xdr:colOff>
      <xdr:row>23</xdr:row>
      <xdr:rowOff>160064</xdr:rowOff>
    </xdr:from>
    <xdr:to>
      <xdr:col>15</xdr:col>
      <xdr:colOff>196850</xdr:colOff>
      <xdr:row>29</xdr:row>
      <xdr:rowOff>58337</xdr:rowOff>
    </xdr:to>
    <xdr:sp macro="" textlink="">
      <xdr:nvSpPr>
        <xdr:cNvPr id="1070" name="Rechthoek 1069"/>
        <xdr:cNvSpPr/>
      </xdr:nvSpPr>
      <xdr:spPr>
        <a:xfrm>
          <a:off x="12249150" y="4255814"/>
          <a:ext cx="63500" cy="86982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133350</xdr:colOff>
      <xdr:row>20</xdr:row>
      <xdr:rowOff>62745</xdr:rowOff>
    </xdr:from>
    <xdr:to>
      <xdr:col>15</xdr:col>
      <xdr:colOff>196850</xdr:colOff>
      <xdr:row>23</xdr:row>
      <xdr:rowOff>160027</xdr:rowOff>
    </xdr:to>
    <xdr:sp macro="" textlink="">
      <xdr:nvSpPr>
        <xdr:cNvPr id="1071" name="Rechthoek 1070"/>
        <xdr:cNvSpPr/>
      </xdr:nvSpPr>
      <xdr:spPr>
        <a:xfrm>
          <a:off x="12249150" y="3672720"/>
          <a:ext cx="63500" cy="58305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133350</xdr:colOff>
      <xdr:row>17</xdr:row>
      <xdr:rowOff>53975</xdr:rowOff>
    </xdr:from>
    <xdr:to>
      <xdr:col>15</xdr:col>
      <xdr:colOff>196850</xdr:colOff>
      <xdr:row>20</xdr:row>
      <xdr:rowOff>62738</xdr:rowOff>
    </xdr:to>
    <xdr:sp macro="" textlink="">
      <xdr:nvSpPr>
        <xdr:cNvPr id="1072" name="Rechthoek 1071"/>
        <xdr:cNvSpPr/>
      </xdr:nvSpPr>
      <xdr:spPr>
        <a:xfrm>
          <a:off x="12249150" y="3178175"/>
          <a:ext cx="63500" cy="49453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170550</xdr:colOff>
      <xdr:row>14</xdr:row>
      <xdr:rowOff>56916</xdr:rowOff>
    </xdr:from>
    <xdr:to>
      <xdr:col>15</xdr:col>
      <xdr:colOff>388110</xdr:colOff>
      <xdr:row>17</xdr:row>
      <xdr:rowOff>68146</xdr:rowOff>
    </xdr:to>
    <xdr:sp macro="" textlink="">
      <xdr:nvSpPr>
        <xdr:cNvPr id="1073" name="Tekstvak 1072"/>
        <xdr:cNvSpPr txBox="1"/>
      </xdr:nvSpPr>
      <xdr:spPr>
        <a:xfrm rot="-3000000">
          <a:off x="12113290" y="2801726"/>
          <a:ext cx="56368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Borssele:</a:t>
          </a:r>
        </a:p>
      </xdr:txBody>
    </xdr:sp>
    <xdr:clientData/>
  </xdr:twoCellAnchor>
  <xdr:twoCellAnchor editAs="absolute">
    <xdr:from>
      <xdr:col>15</xdr:col>
      <xdr:colOff>215900</xdr:colOff>
      <xdr:row>38</xdr:row>
      <xdr:rowOff>47008</xdr:rowOff>
    </xdr:from>
    <xdr:to>
      <xdr:col>15</xdr:col>
      <xdr:colOff>279400</xdr:colOff>
      <xdr:row>40</xdr:row>
      <xdr:rowOff>136543</xdr:rowOff>
    </xdr:to>
    <xdr:sp macro="" textlink="">
      <xdr:nvSpPr>
        <xdr:cNvPr id="1074" name="Rechthoek 1073"/>
        <xdr:cNvSpPr/>
      </xdr:nvSpPr>
      <xdr:spPr>
        <a:xfrm>
          <a:off x="12331700" y="6571633"/>
          <a:ext cx="63500" cy="41338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215900</xdr:colOff>
      <xdr:row>33</xdr:row>
      <xdr:rowOff>35142</xdr:rowOff>
    </xdr:from>
    <xdr:to>
      <xdr:col>15</xdr:col>
      <xdr:colOff>279400</xdr:colOff>
      <xdr:row>38</xdr:row>
      <xdr:rowOff>46953</xdr:rowOff>
    </xdr:to>
    <xdr:sp macro="" textlink="">
      <xdr:nvSpPr>
        <xdr:cNvPr id="1075" name="Rechthoek 1074"/>
        <xdr:cNvSpPr/>
      </xdr:nvSpPr>
      <xdr:spPr>
        <a:xfrm>
          <a:off x="12331700" y="5750142"/>
          <a:ext cx="63500" cy="82143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215900</xdr:colOff>
      <xdr:row>29</xdr:row>
      <xdr:rowOff>40169</xdr:rowOff>
    </xdr:from>
    <xdr:to>
      <xdr:col>15</xdr:col>
      <xdr:colOff>279400</xdr:colOff>
      <xdr:row>33</xdr:row>
      <xdr:rowOff>35089</xdr:rowOff>
    </xdr:to>
    <xdr:sp macro="" textlink="">
      <xdr:nvSpPr>
        <xdr:cNvPr id="1076" name="Rechthoek 1075"/>
        <xdr:cNvSpPr/>
      </xdr:nvSpPr>
      <xdr:spPr>
        <a:xfrm>
          <a:off x="12331700" y="5107469"/>
          <a:ext cx="63500" cy="64262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215900</xdr:colOff>
      <xdr:row>24</xdr:row>
      <xdr:rowOff>62</xdr:rowOff>
    </xdr:from>
    <xdr:to>
      <xdr:col>15</xdr:col>
      <xdr:colOff>279400</xdr:colOff>
      <xdr:row>29</xdr:row>
      <xdr:rowOff>40194</xdr:rowOff>
    </xdr:to>
    <xdr:sp macro="" textlink="">
      <xdr:nvSpPr>
        <xdr:cNvPr id="1077" name="Rechthoek 1076"/>
        <xdr:cNvSpPr/>
      </xdr:nvSpPr>
      <xdr:spPr>
        <a:xfrm>
          <a:off x="12331700" y="4257737"/>
          <a:ext cx="63500" cy="849757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215900</xdr:colOff>
      <xdr:row>20</xdr:row>
      <xdr:rowOff>45976</xdr:rowOff>
    </xdr:from>
    <xdr:to>
      <xdr:col>15</xdr:col>
      <xdr:colOff>279400</xdr:colOff>
      <xdr:row>24</xdr:row>
      <xdr:rowOff>2</xdr:rowOff>
    </xdr:to>
    <xdr:sp macro="" textlink="">
      <xdr:nvSpPr>
        <xdr:cNvPr id="1078" name="Rechthoek 1077"/>
        <xdr:cNvSpPr/>
      </xdr:nvSpPr>
      <xdr:spPr>
        <a:xfrm>
          <a:off x="12331700" y="3655951"/>
          <a:ext cx="63500" cy="60172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215900</xdr:colOff>
      <xdr:row>17</xdr:row>
      <xdr:rowOff>53975</xdr:rowOff>
    </xdr:from>
    <xdr:to>
      <xdr:col>15</xdr:col>
      <xdr:colOff>279400</xdr:colOff>
      <xdr:row>20</xdr:row>
      <xdr:rowOff>45974</xdr:rowOff>
    </xdr:to>
    <xdr:sp macro="" textlink="">
      <xdr:nvSpPr>
        <xdr:cNvPr id="1079" name="Rechthoek 1078"/>
        <xdr:cNvSpPr/>
      </xdr:nvSpPr>
      <xdr:spPr>
        <a:xfrm>
          <a:off x="12331700" y="3178175"/>
          <a:ext cx="63500" cy="477774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15</xdr:col>
      <xdr:colOff>376879</xdr:colOff>
      <xdr:row>12</xdr:row>
      <xdr:rowOff>115320</xdr:rowOff>
    </xdr:from>
    <xdr:to>
      <xdr:col>15</xdr:col>
      <xdr:colOff>594439</xdr:colOff>
      <xdr:row>17</xdr:row>
      <xdr:rowOff>125866</xdr:rowOff>
    </xdr:to>
    <xdr:sp macro="" textlink="">
      <xdr:nvSpPr>
        <xdr:cNvPr id="1080" name="Tekstvak 1079"/>
        <xdr:cNvSpPr txBox="1"/>
      </xdr:nvSpPr>
      <xdr:spPr>
        <a:xfrm rot="-3000000">
          <a:off x="12158036" y="2697863"/>
          <a:ext cx="886846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Pas v. Terneuzen</a:t>
          </a:r>
        </a:p>
      </xdr:txBody>
    </xdr:sp>
    <xdr:clientData/>
  </xdr:twoCellAnchor>
  <xdr:twoCellAnchor editAs="absolute">
    <xdr:from>
      <xdr:col>16</xdr:col>
      <xdr:colOff>351789</xdr:colOff>
      <xdr:row>38</xdr:row>
      <xdr:rowOff>33697</xdr:rowOff>
    </xdr:from>
    <xdr:to>
      <xdr:col>16</xdr:col>
      <xdr:colOff>415289</xdr:colOff>
      <xdr:row>40</xdr:row>
      <xdr:rowOff>136567</xdr:rowOff>
    </xdr:to>
    <xdr:sp macro="" textlink="">
      <xdr:nvSpPr>
        <xdr:cNvPr id="1081" name="Rechthoek 1080"/>
        <xdr:cNvSpPr/>
      </xdr:nvSpPr>
      <xdr:spPr>
        <a:xfrm>
          <a:off x="13077189" y="6558322"/>
          <a:ext cx="63500" cy="42672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351789</xdr:colOff>
      <xdr:row>33</xdr:row>
      <xdr:rowOff>37108</xdr:rowOff>
    </xdr:from>
    <xdr:to>
      <xdr:col>16</xdr:col>
      <xdr:colOff>415289</xdr:colOff>
      <xdr:row>38</xdr:row>
      <xdr:rowOff>33679</xdr:rowOff>
    </xdr:to>
    <xdr:sp macro="" textlink="">
      <xdr:nvSpPr>
        <xdr:cNvPr id="1082" name="Rechthoek 1081"/>
        <xdr:cNvSpPr/>
      </xdr:nvSpPr>
      <xdr:spPr>
        <a:xfrm>
          <a:off x="13077189" y="5752108"/>
          <a:ext cx="63500" cy="80619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351789</xdr:colOff>
      <xdr:row>29</xdr:row>
      <xdr:rowOff>22422</xdr:rowOff>
    </xdr:from>
    <xdr:to>
      <xdr:col>16</xdr:col>
      <xdr:colOff>415289</xdr:colOff>
      <xdr:row>33</xdr:row>
      <xdr:rowOff>37154</xdr:rowOff>
    </xdr:to>
    <xdr:sp macro="" textlink="">
      <xdr:nvSpPr>
        <xdr:cNvPr id="1083" name="Rechthoek 1082"/>
        <xdr:cNvSpPr/>
      </xdr:nvSpPr>
      <xdr:spPr>
        <a:xfrm>
          <a:off x="13077189" y="5089722"/>
          <a:ext cx="63500" cy="66243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351789</xdr:colOff>
      <xdr:row>24</xdr:row>
      <xdr:rowOff>3295</xdr:rowOff>
    </xdr:from>
    <xdr:to>
      <xdr:col>16</xdr:col>
      <xdr:colOff>415289</xdr:colOff>
      <xdr:row>29</xdr:row>
      <xdr:rowOff>22472</xdr:rowOff>
    </xdr:to>
    <xdr:sp macro="" textlink="">
      <xdr:nvSpPr>
        <xdr:cNvPr id="1084" name="Rechthoek 1083"/>
        <xdr:cNvSpPr/>
      </xdr:nvSpPr>
      <xdr:spPr>
        <a:xfrm>
          <a:off x="13077189" y="4260970"/>
          <a:ext cx="63500" cy="82880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351789</xdr:colOff>
      <xdr:row>20</xdr:row>
      <xdr:rowOff>28672</xdr:rowOff>
    </xdr:from>
    <xdr:to>
      <xdr:col>16</xdr:col>
      <xdr:colOff>415289</xdr:colOff>
      <xdr:row>24</xdr:row>
      <xdr:rowOff>3272</xdr:rowOff>
    </xdr:to>
    <xdr:sp macro="" textlink="">
      <xdr:nvSpPr>
        <xdr:cNvPr id="1085" name="Rechthoek 1084"/>
        <xdr:cNvSpPr/>
      </xdr:nvSpPr>
      <xdr:spPr>
        <a:xfrm>
          <a:off x="13077189" y="3638647"/>
          <a:ext cx="63500" cy="6223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351789</xdr:colOff>
      <xdr:row>17</xdr:row>
      <xdr:rowOff>53975</xdr:rowOff>
    </xdr:from>
    <xdr:to>
      <xdr:col>16</xdr:col>
      <xdr:colOff>415289</xdr:colOff>
      <xdr:row>20</xdr:row>
      <xdr:rowOff>28702</xdr:rowOff>
    </xdr:to>
    <xdr:sp macro="" textlink="">
      <xdr:nvSpPr>
        <xdr:cNvPr id="1086" name="Rechthoek 1085"/>
        <xdr:cNvSpPr/>
      </xdr:nvSpPr>
      <xdr:spPr>
        <a:xfrm>
          <a:off x="13077189" y="3178175"/>
          <a:ext cx="63500" cy="46050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16</xdr:col>
      <xdr:colOff>421171</xdr:colOff>
      <xdr:row>13</xdr:row>
      <xdr:rowOff>149828</xdr:rowOff>
    </xdr:from>
    <xdr:to>
      <xdr:col>17</xdr:col>
      <xdr:colOff>29131</xdr:colOff>
      <xdr:row>17</xdr:row>
      <xdr:rowOff>83153</xdr:rowOff>
    </xdr:to>
    <xdr:sp macro="" textlink="">
      <xdr:nvSpPr>
        <xdr:cNvPr id="1087" name="Tekstvak 1086"/>
        <xdr:cNvSpPr txBox="1"/>
      </xdr:nvSpPr>
      <xdr:spPr>
        <a:xfrm rot="-3000000">
          <a:off x="12931501" y="2774723"/>
          <a:ext cx="64770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Terneuzen</a:t>
          </a:r>
        </a:p>
      </xdr:txBody>
    </xdr:sp>
    <xdr:clientData/>
  </xdr:twoCellAnchor>
  <xdr:twoCellAnchor editAs="absolute">
    <xdr:from>
      <xdr:col>17</xdr:col>
      <xdr:colOff>303530</xdr:colOff>
      <xdr:row>38</xdr:row>
      <xdr:rowOff>30184</xdr:rowOff>
    </xdr:from>
    <xdr:to>
      <xdr:col>17</xdr:col>
      <xdr:colOff>367030</xdr:colOff>
      <xdr:row>40</xdr:row>
      <xdr:rowOff>136483</xdr:rowOff>
    </xdr:to>
    <xdr:sp macro="" textlink="">
      <xdr:nvSpPr>
        <xdr:cNvPr id="1088" name="Rechthoek 1087"/>
        <xdr:cNvSpPr/>
      </xdr:nvSpPr>
      <xdr:spPr>
        <a:xfrm>
          <a:off x="13638530" y="6554809"/>
          <a:ext cx="63500" cy="43014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303530</xdr:colOff>
      <xdr:row>33</xdr:row>
      <xdr:rowOff>17663</xdr:rowOff>
    </xdr:from>
    <xdr:to>
      <xdr:col>17</xdr:col>
      <xdr:colOff>367030</xdr:colOff>
      <xdr:row>38</xdr:row>
      <xdr:rowOff>30236</xdr:rowOff>
    </xdr:to>
    <xdr:sp macro="" textlink="">
      <xdr:nvSpPr>
        <xdr:cNvPr id="1089" name="Rechthoek 1088"/>
        <xdr:cNvSpPr/>
      </xdr:nvSpPr>
      <xdr:spPr>
        <a:xfrm>
          <a:off x="13638530" y="5732663"/>
          <a:ext cx="63500" cy="82219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303530</xdr:colOff>
      <xdr:row>29</xdr:row>
      <xdr:rowOff>20943</xdr:rowOff>
    </xdr:from>
    <xdr:to>
      <xdr:col>17</xdr:col>
      <xdr:colOff>367030</xdr:colOff>
      <xdr:row>33</xdr:row>
      <xdr:rowOff>17641</xdr:rowOff>
    </xdr:to>
    <xdr:sp macro="" textlink="">
      <xdr:nvSpPr>
        <xdr:cNvPr id="1090" name="Rechthoek 1089"/>
        <xdr:cNvSpPr/>
      </xdr:nvSpPr>
      <xdr:spPr>
        <a:xfrm>
          <a:off x="13638530" y="5088243"/>
          <a:ext cx="63500" cy="64439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303530</xdr:colOff>
      <xdr:row>23</xdr:row>
      <xdr:rowOff>145994</xdr:rowOff>
    </xdr:from>
    <xdr:to>
      <xdr:col>17</xdr:col>
      <xdr:colOff>367030</xdr:colOff>
      <xdr:row>29</xdr:row>
      <xdr:rowOff>20899</xdr:rowOff>
    </xdr:to>
    <xdr:sp macro="" textlink="">
      <xdr:nvSpPr>
        <xdr:cNvPr id="1091" name="Rechthoek 1090"/>
        <xdr:cNvSpPr/>
      </xdr:nvSpPr>
      <xdr:spPr>
        <a:xfrm>
          <a:off x="13638530" y="4241744"/>
          <a:ext cx="63500" cy="84645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303530</xdr:colOff>
      <xdr:row>20</xdr:row>
      <xdr:rowOff>28759</xdr:rowOff>
    </xdr:from>
    <xdr:to>
      <xdr:col>17</xdr:col>
      <xdr:colOff>367030</xdr:colOff>
      <xdr:row>23</xdr:row>
      <xdr:rowOff>145981</xdr:rowOff>
    </xdr:to>
    <xdr:sp macro="" textlink="">
      <xdr:nvSpPr>
        <xdr:cNvPr id="1092" name="Rechthoek 1091"/>
        <xdr:cNvSpPr/>
      </xdr:nvSpPr>
      <xdr:spPr>
        <a:xfrm>
          <a:off x="13638530" y="3638734"/>
          <a:ext cx="63500" cy="60299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303530</xdr:colOff>
      <xdr:row>17</xdr:row>
      <xdr:rowOff>53975</xdr:rowOff>
    </xdr:from>
    <xdr:to>
      <xdr:col>17</xdr:col>
      <xdr:colOff>367030</xdr:colOff>
      <xdr:row>20</xdr:row>
      <xdr:rowOff>28702</xdr:rowOff>
    </xdr:to>
    <xdr:sp macro="" textlink="">
      <xdr:nvSpPr>
        <xdr:cNvPr id="1093" name="Rechthoek 1092"/>
        <xdr:cNvSpPr/>
      </xdr:nvSpPr>
      <xdr:spPr>
        <a:xfrm>
          <a:off x="13638530" y="3178175"/>
          <a:ext cx="63500" cy="46050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17</xdr:col>
      <xdr:colOff>351831</xdr:colOff>
      <xdr:row>14</xdr:row>
      <xdr:rowOff>33109</xdr:rowOff>
    </xdr:from>
    <xdr:to>
      <xdr:col>17</xdr:col>
      <xdr:colOff>569391</xdr:colOff>
      <xdr:row>17</xdr:row>
      <xdr:rowOff>73322</xdr:rowOff>
    </xdr:to>
    <xdr:sp macro="" textlink="">
      <xdr:nvSpPr>
        <xdr:cNvPr id="1094" name="Tekstvak 1093"/>
        <xdr:cNvSpPr txBox="1"/>
      </xdr:nvSpPr>
      <xdr:spPr>
        <a:xfrm rot="-3000000">
          <a:off x="13499279" y="2792411"/>
          <a:ext cx="592663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Ossenisse</a:t>
          </a:r>
        </a:p>
      </xdr:txBody>
    </xdr:sp>
    <xdr:clientData/>
  </xdr:twoCellAnchor>
  <xdr:twoCellAnchor editAs="absolute">
    <xdr:from>
      <xdr:col>18</xdr:col>
      <xdr:colOff>63500</xdr:colOff>
      <xdr:row>37</xdr:row>
      <xdr:rowOff>140901</xdr:rowOff>
    </xdr:from>
    <xdr:to>
      <xdr:col>18</xdr:col>
      <xdr:colOff>127000</xdr:colOff>
      <xdr:row>40</xdr:row>
      <xdr:rowOff>136582</xdr:rowOff>
    </xdr:to>
    <xdr:sp macro="" textlink="">
      <xdr:nvSpPr>
        <xdr:cNvPr id="1095" name="Rechthoek 1094"/>
        <xdr:cNvSpPr/>
      </xdr:nvSpPr>
      <xdr:spPr>
        <a:xfrm>
          <a:off x="14008100" y="6503601"/>
          <a:ext cx="63500" cy="48145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63500</xdr:colOff>
      <xdr:row>33</xdr:row>
      <xdr:rowOff>45119</xdr:rowOff>
    </xdr:from>
    <xdr:to>
      <xdr:col>18</xdr:col>
      <xdr:colOff>127000</xdr:colOff>
      <xdr:row>37</xdr:row>
      <xdr:rowOff>140877</xdr:rowOff>
    </xdr:to>
    <xdr:sp macro="" textlink="">
      <xdr:nvSpPr>
        <xdr:cNvPr id="1096" name="Rechthoek 1095"/>
        <xdr:cNvSpPr/>
      </xdr:nvSpPr>
      <xdr:spPr>
        <a:xfrm>
          <a:off x="14008100" y="5760119"/>
          <a:ext cx="63500" cy="74345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63500</xdr:colOff>
      <xdr:row>28</xdr:row>
      <xdr:rowOff>138499</xdr:rowOff>
    </xdr:from>
    <xdr:to>
      <xdr:col>18</xdr:col>
      <xdr:colOff>127000</xdr:colOff>
      <xdr:row>33</xdr:row>
      <xdr:rowOff>45154</xdr:rowOff>
    </xdr:to>
    <xdr:sp macro="" textlink="">
      <xdr:nvSpPr>
        <xdr:cNvPr id="1097" name="Rechthoek 1096"/>
        <xdr:cNvSpPr/>
      </xdr:nvSpPr>
      <xdr:spPr>
        <a:xfrm>
          <a:off x="14008100" y="5043874"/>
          <a:ext cx="63500" cy="71628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63500</xdr:colOff>
      <xdr:row>24</xdr:row>
      <xdr:rowOff>17144</xdr:rowOff>
    </xdr:from>
    <xdr:to>
      <xdr:col>18</xdr:col>
      <xdr:colOff>127000</xdr:colOff>
      <xdr:row>28</xdr:row>
      <xdr:rowOff>138555</xdr:rowOff>
    </xdr:to>
    <xdr:sp macro="" textlink="">
      <xdr:nvSpPr>
        <xdr:cNvPr id="1098" name="Rechthoek 1097"/>
        <xdr:cNvSpPr/>
      </xdr:nvSpPr>
      <xdr:spPr>
        <a:xfrm>
          <a:off x="14008100" y="4274819"/>
          <a:ext cx="63500" cy="76911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63500</xdr:colOff>
      <xdr:row>19</xdr:row>
      <xdr:rowOff>139996</xdr:rowOff>
    </xdr:from>
    <xdr:to>
      <xdr:col>18</xdr:col>
      <xdr:colOff>127000</xdr:colOff>
      <xdr:row>24</xdr:row>
      <xdr:rowOff>17187</xdr:rowOff>
    </xdr:to>
    <xdr:sp macro="" textlink="">
      <xdr:nvSpPr>
        <xdr:cNvPr id="1099" name="Rechthoek 1098"/>
        <xdr:cNvSpPr/>
      </xdr:nvSpPr>
      <xdr:spPr>
        <a:xfrm>
          <a:off x="14008100" y="3588046"/>
          <a:ext cx="63500" cy="68681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63500</xdr:colOff>
      <xdr:row>17</xdr:row>
      <xdr:rowOff>53975</xdr:rowOff>
    </xdr:from>
    <xdr:to>
      <xdr:col>18</xdr:col>
      <xdr:colOff>127000</xdr:colOff>
      <xdr:row>19</xdr:row>
      <xdr:rowOff>139954</xdr:rowOff>
    </xdr:to>
    <xdr:sp macro="" textlink="">
      <xdr:nvSpPr>
        <xdr:cNvPr id="1100" name="Rechthoek 1099"/>
        <xdr:cNvSpPr/>
      </xdr:nvSpPr>
      <xdr:spPr>
        <a:xfrm>
          <a:off x="14008100" y="3178175"/>
          <a:ext cx="63500" cy="40982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74200</xdr:colOff>
      <xdr:row>14</xdr:row>
      <xdr:rowOff>113745</xdr:rowOff>
    </xdr:from>
    <xdr:to>
      <xdr:col>18</xdr:col>
      <xdr:colOff>291760</xdr:colOff>
      <xdr:row>17</xdr:row>
      <xdr:rowOff>55789</xdr:rowOff>
    </xdr:to>
    <xdr:sp macro="" textlink="">
      <xdr:nvSpPr>
        <xdr:cNvPr id="1101" name="Tekstvak 1100"/>
        <xdr:cNvSpPr txBox="1"/>
      </xdr:nvSpPr>
      <xdr:spPr>
        <a:xfrm rot="-3000000">
          <a:off x="13880333" y="2823962"/>
          <a:ext cx="494494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boei 40</a:t>
          </a:r>
        </a:p>
      </xdr:txBody>
    </xdr:sp>
    <xdr:clientData/>
  </xdr:twoCellAnchor>
  <xdr:twoCellAnchor editAs="absolute">
    <xdr:from>
      <xdr:col>18</xdr:col>
      <xdr:colOff>346711</xdr:colOff>
      <xdr:row>37</xdr:row>
      <xdr:rowOff>134985</xdr:rowOff>
    </xdr:from>
    <xdr:to>
      <xdr:col>18</xdr:col>
      <xdr:colOff>410211</xdr:colOff>
      <xdr:row>40</xdr:row>
      <xdr:rowOff>136509</xdr:rowOff>
    </xdr:to>
    <xdr:sp macro="" textlink="">
      <xdr:nvSpPr>
        <xdr:cNvPr id="1102" name="Rechthoek 1101"/>
        <xdr:cNvSpPr/>
      </xdr:nvSpPr>
      <xdr:spPr>
        <a:xfrm>
          <a:off x="14291311" y="6497685"/>
          <a:ext cx="63500" cy="48729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346711</xdr:colOff>
      <xdr:row>33</xdr:row>
      <xdr:rowOff>27494</xdr:rowOff>
    </xdr:from>
    <xdr:to>
      <xdr:col>18</xdr:col>
      <xdr:colOff>410211</xdr:colOff>
      <xdr:row>37</xdr:row>
      <xdr:rowOff>134936</xdr:rowOff>
    </xdr:to>
    <xdr:sp macro="" textlink="">
      <xdr:nvSpPr>
        <xdr:cNvPr id="1103" name="Rechthoek 1102"/>
        <xdr:cNvSpPr/>
      </xdr:nvSpPr>
      <xdr:spPr>
        <a:xfrm>
          <a:off x="14291311" y="5742494"/>
          <a:ext cx="63500" cy="75514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346711</xdr:colOff>
      <xdr:row>28</xdr:row>
      <xdr:rowOff>121967</xdr:rowOff>
    </xdr:from>
    <xdr:to>
      <xdr:col>18</xdr:col>
      <xdr:colOff>410211</xdr:colOff>
      <xdr:row>33</xdr:row>
      <xdr:rowOff>27479</xdr:rowOff>
    </xdr:to>
    <xdr:sp macro="" textlink="">
      <xdr:nvSpPr>
        <xdr:cNvPr id="1104" name="Rechthoek 1103"/>
        <xdr:cNvSpPr/>
      </xdr:nvSpPr>
      <xdr:spPr>
        <a:xfrm>
          <a:off x="14291311" y="5027342"/>
          <a:ext cx="63500" cy="71513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346711</xdr:colOff>
      <xdr:row>23</xdr:row>
      <xdr:rowOff>159842</xdr:rowOff>
    </xdr:from>
    <xdr:to>
      <xdr:col>18</xdr:col>
      <xdr:colOff>410211</xdr:colOff>
      <xdr:row>28</xdr:row>
      <xdr:rowOff>121996</xdr:rowOff>
    </xdr:to>
    <xdr:sp macro="" textlink="">
      <xdr:nvSpPr>
        <xdr:cNvPr id="1105" name="Rechthoek 1104"/>
        <xdr:cNvSpPr/>
      </xdr:nvSpPr>
      <xdr:spPr>
        <a:xfrm>
          <a:off x="14291311" y="4255592"/>
          <a:ext cx="63500" cy="77177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346711</xdr:colOff>
      <xdr:row>19</xdr:row>
      <xdr:rowOff>126014</xdr:rowOff>
    </xdr:from>
    <xdr:to>
      <xdr:col>18</xdr:col>
      <xdr:colOff>410211</xdr:colOff>
      <xdr:row>23</xdr:row>
      <xdr:rowOff>159796</xdr:rowOff>
    </xdr:to>
    <xdr:sp macro="" textlink="">
      <xdr:nvSpPr>
        <xdr:cNvPr id="1106" name="Rechthoek 1105"/>
        <xdr:cNvSpPr/>
      </xdr:nvSpPr>
      <xdr:spPr>
        <a:xfrm>
          <a:off x="14291311" y="3574064"/>
          <a:ext cx="63500" cy="68148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346711</xdr:colOff>
      <xdr:row>17</xdr:row>
      <xdr:rowOff>53975</xdr:rowOff>
    </xdr:from>
    <xdr:to>
      <xdr:col>18</xdr:col>
      <xdr:colOff>410211</xdr:colOff>
      <xdr:row>19</xdr:row>
      <xdr:rowOff>125984</xdr:rowOff>
    </xdr:to>
    <xdr:sp macro="" textlink="">
      <xdr:nvSpPr>
        <xdr:cNvPr id="1107" name="Rechthoek 1106"/>
        <xdr:cNvSpPr/>
      </xdr:nvSpPr>
      <xdr:spPr>
        <a:xfrm>
          <a:off x="14291311" y="3178175"/>
          <a:ext cx="63500" cy="39585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422640</xdr:colOff>
      <xdr:row>13</xdr:row>
      <xdr:rowOff>135784</xdr:rowOff>
    </xdr:from>
    <xdr:to>
      <xdr:col>19</xdr:col>
      <xdr:colOff>30600</xdr:colOff>
      <xdr:row>17</xdr:row>
      <xdr:rowOff>86206</xdr:rowOff>
    </xdr:to>
    <xdr:sp macro="" textlink="">
      <xdr:nvSpPr>
        <xdr:cNvPr id="1108" name="Tekstvak 1107"/>
        <xdr:cNvSpPr txBox="1"/>
      </xdr:nvSpPr>
      <xdr:spPr>
        <a:xfrm rot="-3000000">
          <a:off x="14143621" y="2769228"/>
          <a:ext cx="664797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Hansweert:</a:t>
          </a:r>
        </a:p>
      </xdr:txBody>
    </xdr:sp>
    <xdr:clientData/>
  </xdr:twoCellAnchor>
  <xdr:twoCellAnchor editAs="absolute">
    <xdr:from>
      <xdr:col>18</xdr:col>
      <xdr:colOff>544830</xdr:colOff>
      <xdr:row>37</xdr:row>
      <xdr:rowOff>143859</xdr:rowOff>
    </xdr:from>
    <xdr:to>
      <xdr:col>18</xdr:col>
      <xdr:colOff>608330</xdr:colOff>
      <xdr:row>40</xdr:row>
      <xdr:rowOff>136492</xdr:rowOff>
    </xdr:to>
    <xdr:sp macro="" textlink="">
      <xdr:nvSpPr>
        <xdr:cNvPr id="1109" name="Rechthoek 1108"/>
        <xdr:cNvSpPr/>
      </xdr:nvSpPr>
      <xdr:spPr>
        <a:xfrm>
          <a:off x="14489430" y="6506559"/>
          <a:ext cx="63500" cy="47840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544830</xdr:colOff>
      <xdr:row>33</xdr:row>
      <xdr:rowOff>3277</xdr:rowOff>
    </xdr:from>
    <xdr:to>
      <xdr:col>18</xdr:col>
      <xdr:colOff>608330</xdr:colOff>
      <xdr:row>37</xdr:row>
      <xdr:rowOff>143866</xdr:rowOff>
    </xdr:to>
    <xdr:sp macro="" textlink="">
      <xdr:nvSpPr>
        <xdr:cNvPr id="1110" name="Rechthoek 1109"/>
        <xdr:cNvSpPr/>
      </xdr:nvSpPr>
      <xdr:spPr>
        <a:xfrm>
          <a:off x="14489430" y="5718277"/>
          <a:ext cx="63500" cy="788289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544830</xdr:colOff>
      <xdr:row>28</xdr:row>
      <xdr:rowOff>139820</xdr:rowOff>
    </xdr:from>
    <xdr:to>
      <xdr:col>18</xdr:col>
      <xdr:colOff>608330</xdr:colOff>
      <xdr:row>33</xdr:row>
      <xdr:rowOff>3295</xdr:rowOff>
    </xdr:to>
    <xdr:sp macro="" textlink="">
      <xdr:nvSpPr>
        <xdr:cNvPr id="1111" name="Rechthoek 1110"/>
        <xdr:cNvSpPr/>
      </xdr:nvSpPr>
      <xdr:spPr>
        <a:xfrm>
          <a:off x="14489430" y="5045195"/>
          <a:ext cx="63500" cy="67310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544830</xdr:colOff>
      <xdr:row>23</xdr:row>
      <xdr:rowOff>139137</xdr:rowOff>
    </xdr:from>
    <xdr:to>
      <xdr:col>18</xdr:col>
      <xdr:colOff>608330</xdr:colOff>
      <xdr:row>28</xdr:row>
      <xdr:rowOff>139772</xdr:rowOff>
    </xdr:to>
    <xdr:sp macro="" textlink="">
      <xdr:nvSpPr>
        <xdr:cNvPr id="1112" name="Rechthoek 1111"/>
        <xdr:cNvSpPr/>
      </xdr:nvSpPr>
      <xdr:spPr>
        <a:xfrm>
          <a:off x="14489430" y="4234887"/>
          <a:ext cx="63500" cy="81026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544830</xdr:colOff>
      <xdr:row>19</xdr:row>
      <xdr:rowOff>146450</xdr:rowOff>
    </xdr:from>
    <xdr:to>
      <xdr:col>18</xdr:col>
      <xdr:colOff>608330</xdr:colOff>
      <xdr:row>23</xdr:row>
      <xdr:rowOff>139085</xdr:rowOff>
    </xdr:to>
    <xdr:sp macro="" textlink="">
      <xdr:nvSpPr>
        <xdr:cNvPr id="1113" name="Rechthoek 1112"/>
        <xdr:cNvSpPr/>
      </xdr:nvSpPr>
      <xdr:spPr>
        <a:xfrm>
          <a:off x="14489430" y="3594500"/>
          <a:ext cx="63500" cy="64033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544830</xdr:colOff>
      <xdr:row>17</xdr:row>
      <xdr:rowOff>53975</xdr:rowOff>
    </xdr:from>
    <xdr:to>
      <xdr:col>18</xdr:col>
      <xdr:colOff>608330</xdr:colOff>
      <xdr:row>19</xdr:row>
      <xdr:rowOff>146431</xdr:rowOff>
    </xdr:to>
    <xdr:sp macro="" textlink="">
      <xdr:nvSpPr>
        <xdr:cNvPr id="1114" name="Rechthoek 1113"/>
        <xdr:cNvSpPr/>
      </xdr:nvSpPr>
      <xdr:spPr>
        <a:xfrm>
          <a:off x="14489430" y="3178175"/>
          <a:ext cx="63500" cy="41630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18</xdr:col>
      <xdr:colOff>589298</xdr:colOff>
      <xdr:row>14</xdr:row>
      <xdr:rowOff>41326</xdr:rowOff>
    </xdr:from>
    <xdr:to>
      <xdr:col>19</xdr:col>
      <xdr:colOff>197258</xdr:colOff>
      <xdr:row>17</xdr:row>
      <xdr:rowOff>71536</xdr:rowOff>
    </xdr:to>
    <xdr:sp macro="" textlink="">
      <xdr:nvSpPr>
        <xdr:cNvPr id="1115" name="Tekstvak 1114"/>
        <xdr:cNvSpPr txBox="1"/>
      </xdr:nvSpPr>
      <xdr:spPr>
        <a:xfrm rot="-3000000">
          <a:off x="14351348" y="2795626"/>
          <a:ext cx="58266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Zuidergat</a:t>
          </a:r>
        </a:p>
      </xdr:txBody>
    </xdr:sp>
    <xdr:clientData/>
  </xdr:twoCellAnchor>
  <xdr:twoCellAnchor editAs="absolute">
    <xdr:from>
      <xdr:col>20</xdr:col>
      <xdr:colOff>138430</xdr:colOff>
      <xdr:row>38</xdr:row>
      <xdr:rowOff>4549</xdr:rowOff>
    </xdr:from>
    <xdr:to>
      <xdr:col>20</xdr:col>
      <xdr:colOff>201930</xdr:colOff>
      <xdr:row>40</xdr:row>
      <xdr:rowOff>136503</xdr:rowOff>
    </xdr:to>
    <xdr:sp macro="" textlink="">
      <xdr:nvSpPr>
        <xdr:cNvPr id="1116" name="Rechthoek 1115"/>
        <xdr:cNvSpPr/>
      </xdr:nvSpPr>
      <xdr:spPr>
        <a:xfrm>
          <a:off x="15302230" y="6529174"/>
          <a:ext cx="63500" cy="455804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138430</xdr:colOff>
      <xdr:row>32</xdr:row>
      <xdr:rowOff>100498</xdr:rowOff>
    </xdr:from>
    <xdr:to>
      <xdr:col>20</xdr:col>
      <xdr:colOff>201930</xdr:colOff>
      <xdr:row>38</xdr:row>
      <xdr:rowOff>4613</xdr:rowOff>
    </xdr:to>
    <xdr:sp macro="" textlink="">
      <xdr:nvSpPr>
        <xdr:cNvPr id="1117" name="Rechthoek 1116"/>
        <xdr:cNvSpPr/>
      </xdr:nvSpPr>
      <xdr:spPr>
        <a:xfrm>
          <a:off x="15302230" y="5653573"/>
          <a:ext cx="63500" cy="87566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138430</xdr:colOff>
      <xdr:row>28</xdr:row>
      <xdr:rowOff>156299</xdr:rowOff>
    </xdr:from>
    <xdr:to>
      <xdr:col>20</xdr:col>
      <xdr:colOff>201930</xdr:colOff>
      <xdr:row>32</xdr:row>
      <xdr:rowOff>100547</xdr:rowOff>
    </xdr:to>
    <xdr:sp macro="" textlink="">
      <xdr:nvSpPr>
        <xdr:cNvPr id="1118" name="Rechthoek 1117"/>
        <xdr:cNvSpPr/>
      </xdr:nvSpPr>
      <xdr:spPr>
        <a:xfrm>
          <a:off x="15302230" y="5061674"/>
          <a:ext cx="63500" cy="59194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138430</xdr:colOff>
      <xdr:row>23</xdr:row>
      <xdr:rowOff>77021</xdr:rowOff>
    </xdr:from>
    <xdr:to>
      <xdr:col>20</xdr:col>
      <xdr:colOff>201930</xdr:colOff>
      <xdr:row>28</xdr:row>
      <xdr:rowOff>156269</xdr:rowOff>
    </xdr:to>
    <xdr:sp macro="" textlink="">
      <xdr:nvSpPr>
        <xdr:cNvPr id="1119" name="Rechthoek 1118"/>
        <xdr:cNvSpPr/>
      </xdr:nvSpPr>
      <xdr:spPr>
        <a:xfrm>
          <a:off x="15302230" y="4172771"/>
          <a:ext cx="63500" cy="888873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138430</xdr:colOff>
      <xdr:row>20</xdr:row>
      <xdr:rowOff>6710</xdr:rowOff>
    </xdr:from>
    <xdr:to>
      <xdr:col>20</xdr:col>
      <xdr:colOff>201930</xdr:colOff>
      <xdr:row>23</xdr:row>
      <xdr:rowOff>77068</xdr:rowOff>
    </xdr:to>
    <xdr:sp macro="" textlink="">
      <xdr:nvSpPr>
        <xdr:cNvPr id="1120" name="Rechthoek 1119"/>
        <xdr:cNvSpPr/>
      </xdr:nvSpPr>
      <xdr:spPr>
        <a:xfrm>
          <a:off x="15302230" y="3616685"/>
          <a:ext cx="63500" cy="55613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138430</xdr:colOff>
      <xdr:row>17</xdr:row>
      <xdr:rowOff>53975</xdr:rowOff>
    </xdr:from>
    <xdr:to>
      <xdr:col>20</xdr:col>
      <xdr:colOff>201930</xdr:colOff>
      <xdr:row>20</xdr:row>
      <xdr:rowOff>6731</xdr:rowOff>
    </xdr:to>
    <xdr:sp macro="" textlink="">
      <xdr:nvSpPr>
        <xdr:cNvPr id="1121" name="Rechthoek 1120"/>
        <xdr:cNvSpPr/>
      </xdr:nvSpPr>
      <xdr:spPr>
        <a:xfrm>
          <a:off x="15302230" y="3178175"/>
          <a:ext cx="63500" cy="43853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197955</xdr:colOff>
      <xdr:row>14</xdr:row>
      <xdr:rowOff>9041</xdr:rowOff>
    </xdr:from>
    <xdr:to>
      <xdr:col>20</xdr:col>
      <xdr:colOff>415515</xdr:colOff>
      <xdr:row>17</xdr:row>
      <xdr:rowOff>78556</xdr:rowOff>
    </xdr:to>
    <xdr:sp macro="" textlink="">
      <xdr:nvSpPr>
        <xdr:cNvPr id="1122" name="Tekstvak 1121"/>
        <xdr:cNvSpPr txBox="1"/>
      </xdr:nvSpPr>
      <xdr:spPr>
        <a:xfrm rot="-3000000">
          <a:off x="15159552" y="2782994"/>
          <a:ext cx="621965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Valkenisse</a:t>
          </a:r>
        </a:p>
      </xdr:txBody>
    </xdr:sp>
    <xdr:clientData/>
  </xdr:twoCellAnchor>
  <xdr:twoCellAnchor editAs="absolute">
    <xdr:from>
      <xdr:col>20</xdr:col>
      <xdr:colOff>455930</xdr:colOff>
      <xdr:row>37</xdr:row>
      <xdr:rowOff>134985</xdr:rowOff>
    </xdr:from>
    <xdr:to>
      <xdr:col>20</xdr:col>
      <xdr:colOff>519430</xdr:colOff>
      <xdr:row>40</xdr:row>
      <xdr:rowOff>136509</xdr:rowOff>
    </xdr:to>
    <xdr:sp macro="" textlink="">
      <xdr:nvSpPr>
        <xdr:cNvPr id="1123" name="Rechthoek 1122"/>
        <xdr:cNvSpPr/>
      </xdr:nvSpPr>
      <xdr:spPr>
        <a:xfrm>
          <a:off x="15619730" y="6497685"/>
          <a:ext cx="63500" cy="48729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455930</xdr:colOff>
      <xdr:row>32</xdr:row>
      <xdr:rowOff>115604</xdr:rowOff>
    </xdr:from>
    <xdr:to>
      <xdr:col>20</xdr:col>
      <xdr:colOff>519430</xdr:colOff>
      <xdr:row>37</xdr:row>
      <xdr:rowOff>135035</xdr:rowOff>
    </xdr:to>
    <xdr:sp macro="" textlink="">
      <xdr:nvSpPr>
        <xdr:cNvPr id="1124" name="Rechthoek 1123"/>
        <xdr:cNvSpPr/>
      </xdr:nvSpPr>
      <xdr:spPr>
        <a:xfrm>
          <a:off x="15619730" y="5668679"/>
          <a:ext cx="63500" cy="82905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455930</xdr:colOff>
      <xdr:row>28</xdr:row>
      <xdr:rowOff>116611</xdr:rowOff>
    </xdr:from>
    <xdr:to>
      <xdr:col>20</xdr:col>
      <xdr:colOff>519430</xdr:colOff>
      <xdr:row>32</xdr:row>
      <xdr:rowOff>115594</xdr:rowOff>
    </xdr:to>
    <xdr:sp macro="" textlink="">
      <xdr:nvSpPr>
        <xdr:cNvPr id="1125" name="Rechthoek 1124"/>
        <xdr:cNvSpPr/>
      </xdr:nvSpPr>
      <xdr:spPr>
        <a:xfrm>
          <a:off x="15619730" y="5021986"/>
          <a:ext cx="63500" cy="646683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455930</xdr:colOff>
      <xdr:row>23</xdr:row>
      <xdr:rowOff>89750</xdr:rowOff>
    </xdr:from>
    <xdr:to>
      <xdr:col>20</xdr:col>
      <xdr:colOff>519430</xdr:colOff>
      <xdr:row>28</xdr:row>
      <xdr:rowOff>116547</xdr:rowOff>
    </xdr:to>
    <xdr:sp macro="" textlink="">
      <xdr:nvSpPr>
        <xdr:cNvPr id="1126" name="Rechthoek 1125"/>
        <xdr:cNvSpPr/>
      </xdr:nvSpPr>
      <xdr:spPr>
        <a:xfrm>
          <a:off x="15619730" y="4185500"/>
          <a:ext cx="63500" cy="836422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455930</xdr:colOff>
      <xdr:row>19</xdr:row>
      <xdr:rowOff>133193</xdr:rowOff>
    </xdr:from>
    <xdr:to>
      <xdr:col>20</xdr:col>
      <xdr:colOff>519430</xdr:colOff>
      <xdr:row>23</xdr:row>
      <xdr:rowOff>89759</xdr:rowOff>
    </xdr:to>
    <xdr:sp macro="" textlink="">
      <xdr:nvSpPr>
        <xdr:cNvPr id="1127" name="Rechthoek 1126"/>
        <xdr:cNvSpPr/>
      </xdr:nvSpPr>
      <xdr:spPr>
        <a:xfrm>
          <a:off x="15619730" y="3581243"/>
          <a:ext cx="63500" cy="60426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455930</xdr:colOff>
      <xdr:row>17</xdr:row>
      <xdr:rowOff>53975</xdr:rowOff>
    </xdr:from>
    <xdr:to>
      <xdr:col>20</xdr:col>
      <xdr:colOff>519430</xdr:colOff>
      <xdr:row>19</xdr:row>
      <xdr:rowOff>133223</xdr:rowOff>
    </xdr:to>
    <xdr:sp macro="" textlink="">
      <xdr:nvSpPr>
        <xdr:cNvPr id="1128" name="Rechthoek 1127"/>
        <xdr:cNvSpPr/>
      </xdr:nvSpPr>
      <xdr:spPr>
        <a:xfrm>
          <a:off x="15619730" y="3178175"/>
          <a:ext cx="63500" cy="40309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421957</xdr:colOff>
      <xdr:row>15</xdr:row>
      <xdr:rowOff>47623</xdr:rowOff>
    </xdr:from>
    <xdr:to>
      <xdr:col>21</xdr:col>
      <xdr:colOff>29917</xdr:colOff>
      <xdr:row>17</xdr:row>
      <xdr:rowOff>34958</xdr:rowOff>
    </xdr:to>
    <xdr:sp macro="" textlink="">
      <xdr:nvSpPr>
        <xdr:cNvPr id="1129" name="Tekstvak 1128"/>
        <xdr:cNvSpPr txBox="1"/>
      </xdr:nvSpPr>
      <xdr:spPr>
        <a:xfrm rot="-3000000">
          <a:off x="15505607" y="2861448"/>
          <a:ext cx="377860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Bath</a:t>
          </a:r>
        </a:p>
      </xdr:txBody>
    </xdr:sp>
    <xdr:clientData/>
  </xdr:twoCellAnchor>
  <xdr:twoCellAnchor editAs="absolute">
    <xdr:from>
      <xdr:col>21</xdr:col>
      <xdr:colOff>62230</xdr:colOff>
      <xdr:row>37</xdr:row>
      <xdr:rowOff>127221</xdr:rowOff>
    </xdr:from>
    <xdr:to>
      <xdr:col>21</xdr:col>
      <xdr:colOff>125730</xdr:colOff>
      <xdr:row>40</xdr:row>
      <xdr:rowOff>136492</xdr:rowOff>
    </xdr:to>
    <xdr:sp macro="" textlink="">
      <xdr:nvSpPr>
        <xdr:cNvPr id="1130" name="Rechthoek 1129"/>
        <xdr:cNvSpPr/>
      </xdr:nvSpPr>
      <xdr:spPr>
        <a:xfrm>
          <a:off x="15835630" y="6489921"/>
          <a:ext cx="63500" cy="495046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62230</xdr:colOff>
      <xdr:row>32</xdr:row>
      <xdr:rowOff>91685</xdr:rowOff>
    </xdr:from>
    <xdr:to>
      <xdr:col>21</xdr:col>
      <xdr:colOff>125730</xdr:colOff>
      <xdr:row>37</xdr:row>
      <xdr:rowOff>127246</xdr:rowOff>
    </xdr:to>
    <xdr:sp macro="" textlink="">
      <xdr:nvSpPr>
        <xdr:cNvPr id="1131" name="Rechthoek 1130"/>
        <xdr:cNvSpPr/>
      </xdr:nvSpPr>
      <xdr:spPr>
        <a:xfrm>
          <a:off x="15835630" y="5644760"/>
          <a:ext cx="63500" cy="84518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62230</xdr:colOff>
      <xdr:row>28</xdr:row>
      <xdr:rowOff>82299</xdr:rowOff>
    </xdr:from>
    <xdr:to>
      <xdr:col>21</xdr:col>
      <xdr:colOff>125730</xdr:colOff>
      <xdr:row>32</xdr:row>
      <xdr:rowOff>91697</xdr:rowOff>
    </xdr:to>
    <xdr:sp macro="" textlink="">
      <xdr:nvSpPr>
        <xdr:cNvPr id="1132" name="Rechthoek 1131"/>
        <xdr:cNvSpPr/>
      </xdr:nvSpPr>
      <xdr:spPr>
        <a:xfrm>
          <a:off x="15835630" y="4987674"/>
          <a:ext cx="63500" cy="65709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62230</xdr:colOff>
      <xdr:row>23</xdr:row>
      <xdr:rowOff>44484</xdr:rowOff>
    </xdr:from>
    <xdr:to>
      <xdr:col>21</xdr:col>
      <xdr:colOff>125730</xdr:colOff>
      <xdr:row>28</xdr:row>
      <xdr:rowOff>82330</xdr:rowOff>
    </xdr:to>
    <xdr:sp macro="" textlink="">
      <xdr:nvSpPr>
        <xdr:cNvPr id="1133" name="Rechthoek 1132"/>
        <xdr:cNvSpPr/>
      </xdr:nvSpPr>
      <xdr:spPr>
        <a:xfrm>
          <a:off x="15835630" y="4140234"/>
          <a:ext cx="63500" cy="84747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62230</xdr:colOff>
      <xdr:row>19</xdr:row>
      <xdr:rowOff>89309</xdr:rowOff>
    </xdr:from>
    <xdr:to>
      <xdr:col>21</xdr:col>
      <xdr:colOff>125730</xdr:colOff>
      <xdr:row>23</xdr:row>
      <xdr:rowOff>44478</xdr:rowOff>
    </xdr:to>
    <xdr:sp macro="" textlink="">
      <xdr:nvSpPr>
        <xdr:cNvPr id="1134" name="Rechthoek 1133"/>
        <xdr:cNvSpPr/>
      </xdr:nvSpPr>
      <xdr:spPr>
        <a:xfrm>
          <a:off x="15835630" y="3537359"/>
          <a:ext cx="63500" cy="602869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62230</xdr:colOff>
      <xdr:row>17</xdr:row>
      <xdr:rowOff>53975</xdr:rowOff>
    </xdr:from>
    <xdr:to>
      <xdr:col>21</xdr:col>
      <xdr:colOff>125730</xdr:colOff>
      <xdr:row>19</xdr:row>
      <xdr:rowOff>89281</xdr:rowOff>
    </xdr:to>
    <xdr:sp macro="" textlink="">
      <xdr:nvSpPr>
        <xdr:cNvPr id="1135" name="Rechthoek 1134"/>
        <xdr:cNvSpPr/>
      </xdr:nvSpPr>
      <xdr:spPr>
        <a:xfrm>
          <a:off x="15835630" y="3178175"/>
          <a:ext cx="63500" cy="35915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20</xdr:col>
      <xdr:colOff>605119</xdr:colOff>
      <xdr:row>15</xdr:row>
      <xdr:rowOff>117829</xdr:rowOff>
    </xdr:from>
    <xdr:to>
      <xdr:col>21</xdr:col>
      <xdr:colOff>213079</xdr:colOff>
      <xdr:row>17</xdr:row>
      <xdr:rowOff>19692</xdr:rowOff>
    </xdr:to>
    <xdr:sp macro="" textlink="">
      <xdr:nvSpPr>
        <xdr:cNvPr id="1136" name="Tekstvak 1135"/>
        <xdr:cNvSpPr txBox="1"/>
      </xdr:nvSpPr>
      <xdr:spPr>
        <a:xfrm rot="-3000000">
          <a:off x="15731505" y="2888918"/>
          <a:ext cx="292388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CP</a:t>
          </a:r>
        </a:p>
      </xdr:txBody>
    </xdr:sp>
    <xdr:clientData/>
  </xdr:twoCellAnchor>
  <xdr:twoCellAnchor editAs="absolute">
    <xdr:from>
      <xdr:col>21</xdr:col>
      <xdr:colOff>176530</xdr:colOff>
      <xdr:row>38</xdr:row>
      <xdr:rowOff>33549</xdr:rowOff>
    </xdr:from>
    <xdr:to>
      <xdr:col>21</xdr:col>
      <xdr:colOff>240030</xdr:colOff>
      <xdr:row>40</xdr:row>
      <xdr:rowOff>136546</xdr:rowOff>
    </xdr:to>
    <xdr:sp macro="" textlink="">
      <xdr:nvSpPr>
        <xdr:cNvPr id="1137" name="Rechthoek 1136"/>
        <xdr:cNvSpPr/>
      </xdr:nvSpPr>
      <xdr:spPr>
        <a:xfrm>
          <a:off x="15949930" y="6558174"/>
          <a:ext cx="63500" cy="426847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176530</xdr:colOff>
      <xdr:row>32</xdr:row>
      <xdr:rowOff>30147</xdr:rowOff>
    </xdr:from>
    <xdr:to>
      <xdr:col>21</xdr:col>
      <xdr:colOff>240030</xdr:colOff>
      <xdr:row>38</xdr:row>
      <xdr:rowOff>33575</xdr:rowOff>
    </xdr:to>
    <xdr:sp macro="" textlink="">
      <xdr:nvSpPr>
        <xdr:cNvPr id="1138" name="Rechthoek 1137"/>
        <xdr:cNvSpPr/>
      </xdr:nvSpPr>
      <xdr:spPr>
        <a:xfrm>
          <a:off x="15949930" y="5583222"/>
          <a:ext cx="63500" cy="97497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176530</xdr:colOff>
      <xdr:row>28</xdr:row>
      <xdr:rowOff>136281</xdr:rowOff>
    </xdr:from>
    <xdr:to>
      <xdr:col>21</xdr:col>
      <xdr:colOff>240030</xdr:colOff>
      <xdr:row>32</xdr:row>
      <xdr:rowOff>30109</xdr:rowOff>
    </xdr:to>
    <xdr:sp macro="" textlink="">
      <xdr:nvSpPr>
        <xdr:cNvPr id="1139" name="Rechthoek 1138"/>
        <xdr:cNvSpPr/>
      </xdr:nvSpPr>
      <xdr:spPr>
        <a:xfrm>
          <a:off x="15949930" y="5041656"/>
          <a:ext cx="63500" cy="54152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176530</xdr:colOff>
      <xdr:row>22</xdr:row>
      <xdr:rowOff>144495</xdr:rowOff>
    </xdr:from>
    <xdr:to>
      <xdr:col>21</xdr:col>
      <xdr:colOff>240030</xdr:colOff>
      <xdr:row>28</xdr:row>
      <xdr:rowOff>136240</xdr:rowOff>
    </xdr:to>
    <xdr:sp macro="" textlink="">
      <xdr:nvSpPr>
        <xdr:cNvPr id="1140" name="Rechthoek 1139"/>
        <xdr:cNvSpPr/>
      </xdr:nvSpPr>
      <xdr:spPr>
        <a:xfrm>
          <a:off x="15949930" y="4078320"/>
          <a:ext cx="63500" cy="963295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176530</xdr:colOff>
      <xdr:row>19</xdr:row>
      <xdr:rowOff>161117</xdr:rowOff>
    </xdr:from>
    <xdr:to>
      <xdr:col>21</xdr:col>
      <xdr:colOff>240030</xdr:colOff>
      <xdr:row>22</xdr:row>
      <xdr:rowOff>144480</xdr:rowOff>
    </xdr:to>
    <xdr:sp macro="" textlink="">
      <xdr:nvSpPr>
        <xdr:cNvPr id="1141" name="Rechthoek 1140"/>
        <xdr:cNvSpPr/>
      </xdr:nvSpPr>
      <xdr:spPr>
        <a:xfrm>
          <a:off x="15949930" y="3609167"/>
          <a:ext cx="63500" cy="46913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176530</xdr:colOff>
      <xdr:row>17</xdr:row>
      <xdr:rowOff>53975</xdr:rowOff>
    </xdr:from>
    <xdr:to>
      <xdr:col>21</xdr:col>
      <xdr:colOff>240030</xdr:colOff>
      <xdr:row>19</xdr:row>
      <xdr:rowOff>161163</xdr:rowOff>
    </xdr:to>
    <xdr:sp macro="" textlink="">
      <xdr:nvSpPr>
        <xdr:cNvPr id="1142" name="Rechthoek 1141"/>
        <xdr:cNvSpPr/>
      </xdr:nvSpPr>
      <xdr:spPr>
        <a:xfrm>
          <a:off x="15949930" y="3178175"/>
          <a:ext cx="63500" cy="431038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215572</xdr:colOff>
      <xdr:row>14</xdr:row>
      <xdr:rowOff>52966</xdr:rowOff>
    </xdr:from>
    <xdr:to>
      <xdr:col>21</xdr:col>
      <xdr:colOff>433132</xdr:colOff>
      <xdr:row>17</xdr:row>
      <xdr:rowOff>69005</xdr:rowOff>
    </xdr:to>
    <xdr:sp macro="" textlink="">
      <xdr:nvSpPr>
        <xdr:cNvPr id="1143" name="Tekstvak 1142"/>
        <xdr:cNvSpPr txBox="1"/>
      </xdr:nvSpPr>
      <xdr:spPr>
        <a:xfrm rot="-3000000">
          <a:off x="15813507" y="2800181"/>
          <a:ext cx="568489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</a:t>
          </a:r>
        </a:p>
      </xdr:txBody>
    </xdr:sp>
    <xdr:clientData/>
  </xdr:twoCellAnchor>
  <xdr:twoCellAnchor editAs="absolute">
    <xdr:from>
      <xdr:col>21</xdr:col>
      <xdr:colOff>341630</xdr:colOff>
      <xdr:row>36</xdr:row>
      <xdr:rowOff>125721</xdr:rowOff>
    </xdr:from>
    <xdr:to>
      <xdr:col>21</xdr:col>
      <xdr:colOff>405130</xdr:colOff>
      <xdr:row>40</xdr:row>
      <xdr:rowOff>136516</xdr:rowOff>
    </xdr:to>
    <xdr:sp macro="" textlink="">
      <xdr:nvSpPr>
        <xdr:cNvPr id="1144" name="Rechthoek 1143"/>
        <xdr:cNvSpPr/>
      </xdr:nvSpPr>
      <xdr:spPr>
        <a:xfrm>
          <a:off x="16115030" y="6326496"/>
          <a:ext cx="63500" cy="658495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341630</xdr:colOff>
      <xdr:row>33</xdr:row>
      <xdr:rowOff>92384</xdr:rowOff>
    </xdr:from>
    <xdr:to>
      <xdr:col>21</xdr:col>
      <xdr:colOff>405130</xdr:colOff>
      <xdr:row>36</xdr:row>
      <xdr:rowOff>125785</xdr:rowOff>
    </xdr:to>
    <xdr:sp macro="" textlink="">
      <xdr:nvSpPr>
        <xdr:cNvPr id="1145" name="Rechthoek 1144"/>
        <xdr:cNvSpPr/>
      </xdr:nvSpPr>
      <xdr:spPr>
        <a:xfrm>
          <a:off x="16115030" y="5807384"/>
          <a:ext cx="63500" cy="519176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341630</xdr:colOff>
      <xdr:row>27</xdr:row>
      <xdr:rowOff>94110</xdr:rowOff>
    </xdr:from>
    <xdr:to>
      <xdr:col>21</xdr:col>
      <xdr:colOff>405130</xdr:colOff>
      <xdr:row>33</xdr:row>
      <xdr:rowOff>92332</xdr:rowOff>
    </xdr:to>
    <xdr:sp macro="" textlink="">
      <xdr:nvSpPr>
        <xdr:cNvPr id="1146" name="Rechthoek 1145"/>
        <xdr:cNvSpPr/>
      </xdr:nvSpPr>
      <xdr:spPr>
        <a:xfrm>
          <a:off x="16115030" y="4837560"/>
          <a:ext cx="63500" cy="96977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341630</xdr:colOff>
      <xdr:row>24</xdr:row>
      <xdr:rowOff>42622</xdr:rowOff>
    </xdr:from>
    <xdr:to>
      <xdr:col>21</xdr:col>
      <xdr:colOff>405130</xdr:colOff>
      <xdr:row>27</xdr:row>
      <xdr:rowOff>94057</xdr:rowOff>
    </xdr:to>
    <xdr:sp macro="" textlink="">
      <xdr:nvSpPr>
        <xdr:cNvPr id="1147" name="Rechthoek 1146"/>
        <xdr:cNvSpPr/>
      </xdr:nvSpPr>
      <xdr:spPr>
        <a:xfrm>
          <a:off x="16115030" y="4300297"/>
          <a:ext cx="63500" cy="537210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341630</xdr:colOff>
      <xdr:row>18</xdr:row>
      <xdr:rowOff>65088</xdr:rowOff>
    </xdr:from>
    <xdr:to>
      <xdr:col>21</xdr:col>
      <xdr:colOff>405130</xdr:colOff>
      <xdr:row>24</xdr:row>
      <xdr:rowOff>42609</xdr:rowOff>
    </xdr:to>
    <xdr:sp macro="" textlink="">
      <xdr:nvSpPr>
        <xdr:cNvPr id="1148" name="Rechthoek 1147"/>
        <xdr:cNvSpPr/>
      </xdr:nvSpPr>
      <xdr:spPr>
        <a:xfrm>
          <a:off x="16115030" y="3351213"/>
          <a:ext cx="63500" cy="949071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341630</xdr:colOff>
      <xdr:row>17</xdr:row>
      <xdr:rowOff>53975</xdr:rowOff>
    </xdr:from>
    <xdr:to>
      <xdr:col>21</xdr:col>
      <xdr:colOff>405130</xdr:colOff>
      <xdr:row>18</xdr:row>
      <xdr:rowOff>65024</xdr:rowOff>
    </xdr:to>
    <xdr:sp macro="" textlink="">
      <xdr:nvSpPr>
        <xdr:cNvPr id="1149" name="Rechthoek 1148"/>
        <xdr:cNvSpPr/>
      </xdr:nvSpPr>
      <xdr:spPr>
        <a:xfrm>
          <a:off x="16115030" y="3178175"/>
          <a:ext cx="63500" cy="172974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463561</xdr:colOff>
      <xdr:row>13</xdr:row>
      <xdr:rowOff>37136</xdr:rowOff>
    </xdr:from>
    <xdr:to>
      <xdr:col>22</xdr:col>
      <xdr:colOff>71521</xdr:colOff>
      <xdr:row>17</xdr:row>
      <xdr:rowOff>107656</xdr:rowOff>
    </xdr:to>
    <xdr:sp macro="" textlink="">
      <xdr:nvSpPr>
        <xdr:cNvPr id="1150" name="Tekstvak 1149"/>
        <xdr:cNvSpPr txBox="1"/>
      </xdr:nvSpPr>
      <xdr:spPr>
        <a:xfrm rot="-3000000">
          <a:off x="15953293" y="2730629"/>
          <a:ext cx="784895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 Geul</a:t>
          </a:r>
        </a:p>
      </xdr:txBody>
    </xdr:sp>
    <xdr:clientData/>
  </xdr:twoCellAnchor>
  <xdr:twoCellAnchor editAs="absolute">
    <xdr:from>
      <xdr:col>21</xdr:col>
      <xdr:colOff>379730</xdr:colOff>
      <xdr:row>36</xdr:row>
      <xdr:rowOff>92075</xdr:rowOff>
    </xdr:from>
    <xdr:to>
      <xdr:col>21</xdr:col>
      <xdr:colOff>443230</xdr:colOff>
      <xdr:row>40</xdr:row>
      <xdr:rowOff>136525</xdr:rowOff>
    </xdr:to>
    <xdr:sp macro="" textlink="">
      <xdr:nvSpPr>
        <xdr:cNvPr id="1151" name="Rechthoek 1150"/>
        <xdr:cNvSpPr/>
      </xdr:nvSpPr>
      <xdr:spPr>
        <a:xfrm>
          <a:off x="16153130" y="6292850"/>
          <a:ext cx="63500" cy="69215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379730</xdr:colOff>
      <xdr:row>33</xdr:row>
      <xdr:rowOff>125290</xdr:rowOff>
    </xdr:from>
    <xdr:to>
      <xdr:col>21</xdr:col>
      <xdr:colOff>443230</xdr:colOff>
      <xdr:row>36</xdr:row>
      <xdr:rowOff>92016</xdr:rowOff>
    </xdr:to>
    <xdr:sp macro="" textlink="">
      <xdr:nvSpPr>
        <xdr:cNvPr id="1152" name="Rechthoek 1151"/>
        <xdr:cNvSpPr/>
      </xdr:nvSpPr>
      <xdr:spPr>
        <a:xfrm>
          <a:off x="16153130" y="5840290"/>
          <a:ext cx="63500" cy="45250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379730</xdr:colOff>
      <xdr:row>27</xdr:row>
      <xdr:rowOff>64848</xdr:rowOff>
    </xdr:from>
    <xdr:to>
      <xdr:col>21</xdr:col>
      <xdr:colOff>443230</xdr:colOff>
      <xdr:row>33</xdr:row>
      <xdr:rowOff>125300</xdr:rowOff>
    </xdr:to>
    <xdr:sp macro="" textlink="">
      <xdr:nvSpPr>
        <xdr:cNvPr id="1153" name="Rechthoek 1152"/>
        <xdr:cNvSpPr/>
      </xdr:nvSpPr>
      <xdr:spPr>
        <a:xfrm>
          <a:off x="16153130" y="4808298"/>
          <a:ext cx="63500" cy="1032002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379730</xdr:colOff>
      <xdr:row>24</xdr:row>
      <xdr:rowOff>76591</xdr:rowOff>
    </xdr:from>
    <xdr:to>
      <xdr:col>21</xdr:col>
      <xdr:colOff>443230</xdr:colOff>
      <xdr:row>27</xdr:row>
      <xdr:rowOff>64907</xdr:rowOff>
    </xdr:to>
    <xdr:sp macro="" textlink="">
      <xdr:nvSpPr>
        <xdr:cNvPr id="1154" name="Rechthoek 1153"/>
        <xdr:cNvSpPr/>
      </xdr:nvSpPr>
      <xdr:spPr>
        <a:xfrm>
          <a:off x="16153130" y="4334266"/>
          <a:ext cx="63500" cy="47409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379730</xdr:colOff>
      <xdr:row>18</xdr:row>
      <xdr:rowOff>30907</xdr:rowOff>
    </xdr:from>
    <xdr:to>
      <xdr:col>21</xdr:col>
      <xdr:colOff>443230</xdr:colOff>
      <xdr:row>24</xdr:row>
      <xdr:rowOff>76627</xdr:rowOff>
    </xdr:to>
    <xdr:sp macro="" textlink="">
      <xdr:nvSpPr>
        <xdr:cNvPr id="1155" name="Rechthoek 1154"/>
        <xdr:cNvSpPr/>
      </xdr:nvSpPr>
      <xdr:spPr>
        <a:xfrm>
          <a:off x="16153130" y="3317032"/>
          <a:ext cx="63500" cy="1017270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379730</xdr:colOff>
      <xdr:row>17</xdr:row>
      <xdr:rowOff>53975</xdr:rowOff>
    </xdr:from>
    <xdr:to>
      <xdr:col>21</xdr:col>
      <xdr:colOff>443230</xdr:colOff>
      <xdr:row>18</xdr:row>
      <xdr:rowOff>30861</xdr:rowOff>
    </xdr:to>
    <xdr:sp macro="" textlink="">
      <xdr:nvSpPr>
        <xdr:cNvPr id="1156" name="Rechthoek 1155"/>
        <xdr:cNvSpPr/>
      </xdr:nvSpPr>
      <xdr:spPr>
        <a:xfrm>
          <a:off x="16153130" y="3178175"/>
          <a:ext cx="63500" cy="138811"/>
        </a:xfrm>
        <a:prstGeom prst="rect">
          <a:avLst/>
        </a:prstGeom>
        <a:solidFill>
          <a:srgbClr val="00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 editAs="absolute">
    <xdr:from>
      <xdr:col>21</xdr:col>
      <xdr:colOff>537443</xdr:colOff>
      <xdr:row>12</xdr:row>
      <xdr:rowOff>122325</xdr:rowOff>
    </xdr:from>
    <xdr:to>
      <xdr:col>22</xdr:col>
      <xdr:colOff>145403</xdr:colOff>
      <xdr:row>17</xdr:row>
      <xdr:rowOff>124342</xdr:rowOff>
    </xdr:to>
    <xdr:sp macro="" textlink="">
      <xdr:nvSpPr>
        <xdr:cNvPr id="1157" name="Tekstvak 1156"/>
        <xdr:cNvSpPr txBox="1"/>
      </xdr:nvSpPr>
      <xdr:spPr>
        <a:xfrm rot="-3000000">
          <a:off x="15980464" y="2700604"/>
          <a:ext cx="878317" cy="217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nl-NL" sz="800"/>
            <a:t>Zandvliet sluizen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38100</xdr:rowOff>
        </xdr:from>
        <xdr:to>
          <xdr:col>13</xdr:col>
          <xdr:colOff>304800</xdr:colOff>
          <xdr:row>1</xdr:row>
          <xdr:rowOff>123825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Nieuwe route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O162"/>
  <sheetViews>
    <sheetView showGridLines="0" tabSelected="1" zoomScaleNormal="100" workbookViewId="0">
      <selection activeCell="C5" sqref="C5"/>
    </sheetView>
  </sheetViews>
  <sheetFormatPr defaultRowHeight="12.75" x14ac:dyDescent="0.2"/>
  <cols>
    <col min="1" max="1" width="18.5703125" customWidth="1"/>
    <col min="2" max="2" width="15.42578125" bestFit="1" customWidth="1"/>
    <col min="3" max="3" width="15.28515625" bestFit="1" customWidth="1"/>
    <col min="4" max="4" width="16.5703125" customWidth="1"/>
    <col min="5" max="5" width="14.5703125" customWidth="1"/>
    <col min="6" max="6" width="14.28515625" bestFit="1" customWidth="1"/>
    <col min="7" max="7" width="11.140625" customWidth="1"/>
    <col min="9" max="9" width="11.85546875" customWidth="1"/>
  </cols>
  <sheetData>
    <row r="1" spans="1:15" ht="15.75" x14ac:dyDescent="0.25">
      <c r="A1" s="146" t="s">
        <v>0</v>
      </c>
      <c r="B1" s="147"/>
      <c r="C1" s="148" t="s">
        <v>113</v>
      </c>
      <c r="D1" s="148"/>
      <c r="E1" s="148"/>
      <c r="F1" s="149"/>
      <c r="G1" s="78" t="s">
        <v>1</v>
      </c>
      <c r="H1" s="79">
        <v>500</v>
      </c>
      <c r="I1" s="17"/>
    </row>
    <row r="2" spans="1:15" ht="13.5" thickBot="1" x14ac:dyDescent="0.25">
      <c r="A2" s="152" t="s">
        <v>107</v>
      </c>
      <c r="B2" s="153"/>
      <c r="C2" s="154">
        <v>9235689</v>
      </c>
      <c r="D2" s="154"/>
      <c r="E2" s="154"/>
      <c r="F2" s="155"/>
      <c r="G2" s="80" t="s">
        <v>106</v>
      </c>
      <c r="H2" s="81">
        <v>63</v>
      </c>
      <c r="I2" s="17"/>
    </row>
    <row r="3" spans="1:15" ht="19.5" customHeight="1" x14ac:dyDescent="0.2">
      <c r="A3" s="150" t="s">
        <v>2</v>
      </c>
      <c r="B3" s="151"/>
      <c r="C3" s="77" t="s">
        <v>87</v>
      </c>
      <c r="D3" s="1"/>
      <c r="E3" s="150" t="s">
        <v>3</v>
      </c>
      <c r="F3" s="151"/>
      <c r="G3" s="151"/>
      <c r="H3" s="47">
        <v>13</v>
      </c>
      <c r="I3" s="1"/>
      <c r="J3" s="60"/>
    </row>
    <row r="4" spans="1:15" ht="15" x14ac:dyDescent="0.2">
      <c r="A4" s="127" t="s">
        <v>4</v>
      </c>
      <c r="B4" s="128"/>
      <c r="C4" s="74">
        <v>150</v>
      </c>
      <c r="D4" s="1"/>
      <c r="E4" s="127" t="s">
        <v>5</v>
      </c>
      <c r="F4" s="128"/>
      <c r="G4" s="128"/>
      <c r="H4" s="46">
        <v>12</v>
      </c>
      <c r="I4" s="1"/>
      <c r="J4" s="60" t="s">
        <v>143</v>
      </c>
    </row>
    <row r="5" spans="1:15" x14ac:dyDescent="0.2">
      <c r="A5" s="134" t="s">
        <v>134</v>
      </c>
      <c r="B5" s="135"/>
      <c r="C5" s="75"/>
      <c r="D5" s="1"/>
      <c r="E5" s="129" t="s">
        <v>78</v>
      </c>
      <c r="F5" s="128"/>
      <c r="G5" s="128"/>
      <c r="H5" s="45">
        <v>8</v>
      </c>
      <c r="I5" s="94" t="s">
        <v>144</v>
      </c>
      <c r="J5" s="140"/>
      <c r="K5" s="141"/>
      <c r="L5" s="141"/>
      <c r="M5" s="141"/>
      <c r="N5" s="141"/>
      <c r="O5" s="141"/>
    </row>
    <row r="6" spans="1:15" ht="13.5" customHeight="1" x14ac:dyDescent="0.2">
      <c r="A6" s="136" t="s">
        <v>141</v>
      </c>
      <c r="B6" s="137"/>
      <c r="C6" s="75" t="s">
        <v>227</v>
      </c>
      <c r="E6" s="130" t="s">
        <v>77</v>
      </c>
      <c r="F6" s="131"/>
      <c r="G6" s="131"/>
      <c r="H6" s="67">
        <v>5</v>
      </c>
      <c r="I6" s="94" t="s">
        <v>145</v>
      </c>
      <c r="J6" s="142"/>
      <c r="K6" s="143"/>
      <c r="L6" s="143"/>
      <c r="M6" s="143"/>
      <c r="N6" s="143"/>
      <c r="O6" s="143"/>
    </row>
    <row r="7" spans="1:15" ht="18" x14ac:dyDescent="0.25">
      <c r="A7" s="132" t="s">
        <v>41</v>
      </c>
      <c r="B7" s="133"/>
      <c r="C7" s="76"/>
      <c r="D7" s="28"/>
      <c r="E7" s="28"/>
      <c r="F7" s="28"/>
      <c r="G7" s="28"/>
      <c r="H7" s="28"/>
      <c r="I7" s="94" t="s">
        <v>146</v>
      </c>
      <c r="J7" s="142"/>
      <c r="K7" s="143"/>
      <c r="L7" s="143"/>
      <c r="M7" s="143"/>
      <c r="N7" s="143"/>
      <c r="O7" s="143"/>
    </row>
    <row r="8" spans="1:15" ht="18" customHeight="1" x14ac:dyDescent="0.2">
      <c r="B8" s="60" t="s">
        <v>153</v>
      </c>
      <c r="C8" s="60" t="s">
        <v>155</v>
      </c>
      <c r="D8" s="29"/>
      <c r="E8" s="29"/>
      <c r="F8" s="102" t="s">
        <v>42</v>
      </c>
      <c r="G8" s="144">
        <v>41738</v>
      </c>
      <c r="H8" s="145"/>
    </row>
    <row r="9" spans="1:15" x14ac:dyDescent="0.2">
      <c r="A9" s="98" t="s">
        <v>152</v>
      </c>
      <c r="B9" s="101">
        <v>41728.083333333336</v>
      </c>
      <c r="C9" s="75">
        <v>2</v>
      </c>
      <c r="D9" s="88" t="s">
        <v>136</v>
      </c>
      <c r="E9" s="99" t="s">
        <v>16</v>
      </c>
      <c r="F9" s="86"/>
      <c r="G9" s="138"/>
      <c r="H9" s="139"/>
    </row>
    <row r="10" spans="1:15" x14ac:dyDescent="0.2">
      <c r="A10" s="98" t="s">
        <v>154</v>
      </c>
      <c r="B10" s="101">
        <v>41938.125</v>
      </c>
      <c r="C10" s="75">
        <v>1</v>
      </c>
      <c r="D10" s="88" t="s">
        <v>147</v>
      </c>
      <c r="E10" s="100" t="s">
        <v>90</v>
      </c>
      <c r="F10" s="85" t="s">
        <v>142</v>
      </c>
      <c r="G10" s="138">
        <v>41732.682638888888</v>
      </c>
      <c r="H10" s="139"/>
      <c r="I10" s="10"/>
    </row>
    <row r="11" spans="1:15" x14ac:dyDescent="0.2">
      <c r="A11" s="2"/>
      <c r="B11" s="2"/>
      <c r="C11" s="2"/>
      <c r="D11" s="2"/>
      <c r="E11" s="2"/>
      <c r="F11" s="2"/>
      <c r="G11" s="2"/>
      <c r="H11" s="2"/>
      <c r="I11" s="2"/>
    </row>
    <row r="12" spans="1:15" x14ac:dyDescent="0.2">
      <c r="A12" s="125" t="s">
        <v>6</v>
      </c>
      <c r="B12" s="126"/>
      <c r="C12" s="3" t="s">
        <v>7</v>
      </c>
      <c r="D12" s="44">
        <v>0</v>
      </c>
      <c r="E12" s="1"/>
      <c r="F12" s="43" t="s">
        <v>8</v>
      </c>
      <c r="G12" s="89">
        <v>0</v>
      </c>
      <c r="H12" s="1"/>
      <c r="I12" s="1"/>
    </row>
    <row r="13" spans="1:15" x14ac:dyDescent="0.2">
      <c r="D13" s="123" t="s">
        <v>139</v>
      </c>
      <c r="E13" s="124"/>
      <c r="F13" s="92">
        <v>0</v>
      </c>
      <c r="G13" s="90" t="s">
        <v>138</v>
      </c>
      <c r="H13" s="91"/>
    </row>
    <row r="14" spans="1:15" x14ac:dyDescent="0.2">
      <c r="A14" s="42"/>
      <c r="D14" s="123" t="s">
        <v>139</v>
      </c>
      <c r="E14" s="124"/>
      <c r="F14" s="92">
        <v>4.1666666666666664E-2</v>
      </c>
      <c r="G14" s="90" t="s">
        <v>137</v>
      </c>
      <c r="H14" s="91"/>
    </row>
    <row r="15" spans="1:15" x14ac:dyDescent="0.2">
      <c r="A15" s="122"/>
      <c r="B15" s="122"/>
      <c r="C15" s="73"/>
      <c r="D15" s="93" t="s">
        <v>140</v>
      </c>
      <c r="E15" s="93"/>
      <c r="F15" s="92">
        <v>0</v>
      </c>
      <c r="G15" s="90" t="s">
        <v>137</v>
      </c>
      <c r="H15" s="91"/>
    </row>
    <row r="16" spans="1:15" x14ac:dyDescent="0.2">
      <c r="A16" s="73"/>
      <c r="B16" s="73"/>
      <c r="C16" s="73"/>
      <c r="D16" s="73"/>
      <c r="E16" s="73"/>
      <c r="F16" s="73"/>
    </row>
    <row r="17" spans="1:6" ht="18" x14ac:dyDescent="0.25">
      <c r="A17" s="175" t="s">
        <v>228</v>
      </c>
      <c r="B17" s="172"/>
      <c r="C17" s="172"/>
      <c r="D17" s="172"/>
      <c r="E17" s="172"/>
      <c r="F17" s="172"/>
    </row>
    <row r="18" spans="1:6" x14ac:dyDescent="0.2">
      <c r="A18" s="172"/>
      <c r="B18" s="172"/>
      <c r="C18" s="172"/>
      <c r="D18" s="173"/>
      <c r="E18" s="174" t="s">
        <v>41</v>
      </c>
      <c r="F18" s="172" t="s">
        <v>135</v>
      </c>
    </row>
    <row r="19" spans="1:6" x14ac:dyDescent="0.2">
      <c r="A19" s="116"/>
      <c r="B19" s="116"/>
      <c r="C19" s="116"/>
      <c r="D19" s="116"/>
      <c r="E19" s="116"/>
      <c r="F19" s="116"/>
    </row>
    <row r="20" spans="1:6" x14ac:dyDescent="0.2">
      <c r="A20" s="116"/>
      <c r="B20" s="70"/>
      <c r="C20" s="70"/>
      <c r="D20" s="117"/>
      <c r="E20" s="71"/>
      <c r="F20" s="73"/>
    </row>
    <row r="21" spans="1:6" x14ac:dyDescent="0.2">
      <c r="A21" s="70"/>
      <c r="B21" s="70"/>
      <c r="C21" s="70"/>
      <c r="D21" s="70"/>
      <c r="E21" s="71"/>
      <c r="F21" s="73"/>
    </row>
    <row r="22" spans="1:6" x14ac:dyDescent="0.2">
      <c r="A22" s="70"/>
      <c r="B22" s="70"/>
      <c r="C22" s="70"/>
      <c r="D22" s="70"/>
      <c r="E22" s="71"/>
      <c r="F22" s="73"/>
    </row>
    <row r="23" spans="1:6" x14ac:dyDescent="0.2">
      <c r="A23" s="70"/>
      <c r="B23" s="70"/>
      <c r="C23" s="70"/>
      <c r="D23" s="70"/>
      <c r="E23" s="71"/>
      <c r="F23" s="112"/>
    </row>
    <row r="24" spans="1:6" x14ac:dyDescent="0.2">
      <c r="A24" s="73"/>
      <c r="B24" s="71"/>
      <c r="C24" s="118"/>
      <c r="D24" s="118"/>
      <c r="E24" s="71"/>
      <c r="F24" s="73"/>
    </row>
    <row r="25" spans="1:6" x14ac:dyDescent="0.2">
      <c r="A25" s="73"/>
      <c r="B25" s="119"/>
      <c r="C25" s="120"/>
      <c r="D25" s="120"/>
      <c r="E25" s="121"/>
      <c r="F25" s="87"/>
    </row>
    <row r="26" spans="1:6" x14ac:dyDescent="0.2">
      <c r="A26" s="73"/>
      <c r="B26" s="119"/>
      <c r="C26" s="120"/>
      <c r="D26" s="120"/>
      <c r="E26" s="121"/>
      <c r="F26" s="87"/>
    </row>
    <row r="27" spans="1:6" x14ac:dyDescent="0.2">
      <c r="A27" s="73"/>
      <c r="B27" s="119"/>
      <c r="C27" s="120"/>
      <c r="D27" s="120"/>
      <c r="E27" s="121"/>
      <c r="F27" s="87"/>
    </row>
    <row r="28" spans="1:6" x14ac:dyDescent="0.2">
      <c r="A28" s="73"/>
      <c r="B28" s="119"/>
      <c r="C28" s="120"/>
      <c r="D28" s="120"/>
      <c r="E28" s="121"/>
      <c r="F28" s="87"/>
    </row>
    <row r="29" spans="1:6" x14ac:dyDescent="0.2">
      <c r="A29" s="73"/>
      <c r="B29" s="119"/>
      <c r="C29" s="120"/>
      <c r="D29" s="120"/>
      <c r="E29" s="121"/>
      <c r="F29" s="87"/>
    </row>
    <row r="30" spans="1:6" x14ac:dyDescent="0.2">
      <c r="A30" s="73"/>
      <c r="B30" s="119"/>
      <c r="C30" s="120"/>
      <c r="D30" s="120"/>
      <c r="E30" s="121"/>
      <c r="F30" s="87"/>
    </row>
    <row r="31" spans="1:6" x14ac:dyDescent="0.2">
      <c r="A31" s="73"/>
      <c r="B31" s="119"/>
      <c r="C31" s="120"/>
      <c r="D31" s="120"/>
      <c r="E31" s="121"/>
      <c r="F31" s="87"/>
    </row>
    <row r="32" spans="1:6" x14ac:dyDescent="0.2">
      <c r="A32" s="73"/>
      <c r="B32" s="119"/>
      <c r="C32" s="120"/>
      <c r="D32" s="120"/>
      <c r="E32" s="121"/>
      <c r="F32" s="87"/>
    </row>
    <row r="33" spans="1:6" x14ac:dyDescent="0.2">
      <c r="A33" s="73"/>
      <c r="B33" s="119"/>
      <c r="C33" s="120"/>
      <c r="D33" s="120"/>
      <c r="E33" s="121"/>
      <c r="F33" s="87"/>
    </row>
    <row r="34" spans="1:6" x14ac:dyDescent="0.2">
      <c r="A34" s="73"/>
      <c r="B34" s="119"/>
      <c r="C34" s="120"/>
      <c r="D34" s="120"/>
      <c r="E34" s="121"/>
      <c r="F34" s="87"/>
    </row>
    <row r="35" spans="1:6" x14ac:dyDescent="0.2">
      <c r="A35" s="73"/>
      <c r="B35" s="119"/>
      <c r="C35" s="120"/>
      <c r="D35" s="120"/>
      <c r="E35" s="121"/>
      <c r="F35" s="87"/>
    </row>
    <row r="36" spans="1:6" x14ac:dyDescent="0.2">
      <c r="A36" s="73"/>
      <c r="B36" s="119"/>
      <c r="C36" s="120"/>
      <c r="D36" s="120"/>
      <c r="E36" s="121"/>
      <c r="F36" s="87"/>
    </row>
    <row r="37" spans="1:6" x14ac:dyDescent="0.2">
      <c r="A37" s="73"/>
      <c r="B37" s="119"/>
      <c r="C37" s="120"/>
      <c r="D37" s="120"/>
      <c r="E37" s="121"/>
      <c r="F37" s="87"/>
    </row>
    <row r="38" spans="1:6" x14ac:dyDescent="0.2">
      <c r="A38" s="73"/>
      <c r="B38" s="119"/>
      <c r="C38" s="120"/>
      <c r="D38" s="120"/>
      <c r="E38" s="121"/>
      <c r="F38" s="87"/>
    </row>
    <row r="39" spans="1:6" x14ac:dyDescent="0.2">
      <c r="A39" s="73"/>
      <c r="B39" s="119"/>
      <c r="C39" s="120"/>
      <c r="D39" s="120"/>
      <c r="E39" s="121"/>
      <c r="F39" s="87"/>
    </row>
    <row r="40" spans="1:6" x14ac:dyDescent="0.2">
      <c r="A40" s="73"/>
      <c r="B40" s="119"/>
      <c r="C40" s="120"/>
      <c r="D40" s="120"/>
      <c r="E40" s="121"/>
      <c r="F40" s="87"/>
    </row>
    <row r="41" spans="1:6" x14ac:dyDescent="0.2">
      <c r="A41" s="73"/>
      <c r="B41" s="119"/>
      <c r="C41" s="120"/>
      <c r="D41" s="120"/>
      <c r="E41" s="121"/>
      <c r="F41" s="87"/>
    </row>
    <row r="42" spans="1:6" x14ac:dyDescent="0.2">
      <c r="A42" s="73"/>
      <c r="B42" s="119"/>
      <c r="C42" s="120"/>
      <c r="D42" s="120"/>
      <c r="E42" s="121"/>
      <c r="F42" s="87"/>
    </row>
    <row r="43" spans="1:6" x14ac:dyDescent="0.2">
      <c r="A43" s="73"/>
      <c r="B43" s="119"/>
      <c r="C43" s="120"/>
      <c r="D43" s="120"/>
      <c r="E43" s="121"/>
      <c r="F43" s="87"/>
    </row>
    <row r="44" spans="1:6" x14ac:dyDescent="0.2">
      <c r="A44" s="73"/>
      <c r="B44" s="119"/>
      <c r="C44" s="120"/>
      <c r="D44" s="120"/>
      <c r="E44" s="121"/>
      <c r="F44" s="87"/>
    </row>
    <row r="45" spans="1:6" x14ac:dyDescent="0.2">
      <c r="A45" s="73"/>
      <c r="B45" s="119"/>
      <c r="C45" s="120"/>
      <c r="D45" s="120"/>
      <c r="E45" s="121"/>
      <c r="F45" s="87"/>
    </row>
    <row r="46" spans="1:6" x14ac:dyDescent="0.2">
      <c r="A46" s="73"/>
      <c r="B46" s="119"/>
      <c r="C46" s="120"/>
      <c r="D46" s="120"/>
      <c r="E46" s="121"/>
      <c r="F46" s="87"/>
    </row>
    <row r="47" spans="1:6" x14ac:dyDescent="0.2">
      <c r="A47" s="73"/>
      <c r="B47" s="119"/>
      <c r="C47" s="120"/>
      <c r="D47" s="120"/>
      <c r="E47" s="121"/>
      <c r="F47" s="87"/>
    </row>
    <row r="48" spans="1:6" x14ac:dyDescent="0.2">
      <c r="A48" s="73"/>
      <c r="B48" s="119"/>
      <c r="C48" s="120"/>
      <c r="D48" s="120"/>
      <c r="E48" s="121"/>
      <c r="F48" s="87"/>
    </row>
    <row r="49" spans="1:6" x14ac:dyDescent="0.2">
      <c r="A49" s="73"/>
      <c r="B49" s="119"/>
      <c r="C49" s="120"/>
      <c r="D49" s="120"/>
      <c r="E49" s="121"/>
      <c r="F49" s="87"/>
    </row>
    <row r="50" spans="1:6" x14ac:dyDescent="0.2">
      <c r="A50" s="73"/>
      <c r="B50" s="119"/>
      <c r="C50" s="120"/>
      <c r="D50" s="120"/>
      <c r="E50" s="121"/>
      <c r="F50" s="87"/>
    </row>
    <row r="51" spans="1:6" x14ac:dyDescent="0.2">
      <c r="A51" s="73"/>
      <c r="B51" s="119"/>
      <c r="C51" s="120"/>
      <c r="D51" s="120"/>
      <c r="E51" s="121"/>
      <c r="F51" s="87"/>
    </row>
    <row r="52" spans="1:6" x14ac:dyDescent="0.2">
      <c r="A52" s="73"/>
      <c r="B52" s="87"/>
      <c r="C52" s="87"/>
      <c r="D52" s="87"/>
      <c r="E52" s="87"/>
      <c r="F52" s="87"/>
    </row>
    <row r="53" spans="1:6" x14ac:dyDescent="0.2">
      <c r="A53" s="73"/>
      <c r="B53" s="87"/>
      <c r="C53" s="87"/>
      <c r="D53" s="87"/>
      <c r="E53" s="87"/>
      <c r="F53" s="87"/>
    </row>
    <row r="54" spans="1:6" x14ac:dyDescent="0.2">
      <c r="A54" s="73"/>
      <c r="B54" s="87"/>
      <c r="C54" s="87"/>
      <c r="D54" s="87"/>
      <c r="E54" s="87"/>
      <c r="F54" s="87"/>
    </row>
    <row r="55" spans="1:6" x14ac:dyDescent="0.2">
      <c r="A55" s="73"/>
      <c r="B55" s="87"/>
      <c r="C55" s="87"/>
      <c r="D55" s="87"/>
      <c r="E55" s="87"/>
      <c r="F55" s="87"/>
    </row>
    <row r="56" spans="1:6" x14ac:dyDescent="0.2">
      <c r="A56" s="73"/>
      <c r="B56" s="87"/>
      <c r="C56" s="87"/>
      <c r="D56" s="87"/>
      <c r="E56" s="87"/>
      <c r="F56" s="87"/>
    </row>
    <row r="57" spans="1:6" x14ac:dyDescent="0.2">
      <c r="A57" s="73"/>
      <c r="B57" s="87"/>
      <c r="C57" s="87"/>
      <c r="D57" s="87"/>
      <c r="E57" s="87"/>
      <c r="F57" s="87"/>
    </row>
    <row r="58" spans="1:6" x14ac:dyDescent="0.2">
      <c r="A58" s="73"/>
      <c r="B58" s="87"/>
      <c r="C58" s="87"/>
      <c r="D58" s="87"/>
      <c r="E58" s="87"/>
      <c r="F58" s="87"/>
    </row>
    <row r="59" spans="1:6" x14ac:dyDescent="0.2">
      <c r="A59" s="73"/>
      <c r="B59" s="87"/>
      <c r="C59" s="87"/>
      <c r="D59" s="87"/>
      <c r="E59" s="87"/>
      <c r="F59" s="87"/>
    </row>
    <row r="60" spans="1:6" x14ac:dyDescent="0.2">
      <c r="A60" s="73"/>
      <c r="B60" s="87"/>
      <c r="C60" s="87"/>
      <c r="D60" s="87"/>
      <c r="E60" s="87"/>
      <c r="F60" s="87"/>
    </row>
    <row r="61" spans="1:6" x14ac:dyDescent="0.2">
      <c r="A61" s="73"/>
      <c r="B61" s="87"/>
      <c r="C61" s="87"/>
      <c r="D61" s="87"/>
      <c r="E61" s="87"/>
      <c r="F61" s="87"/>
    </row>
    <row r="62" spans="1:6" x14ac:dyDescent="0.2">
      <c r="A62" s="73"/>
      <c r="B62" s="87"/>
      <c r="C62" s="87"/>
      <c r="D62" s="87"/>
      <c r="E62" s="87"/>
      <c r="F62" s="87"/>
    </row>
    <row r="63" spans="1:6" x14ac:dyDescent="0.2">
      <c r="A63" s="73"/>
      <c r="B63" s="87"/>
      <c r="C63" s="87"/>
      <c r="D63" s="87"/>
      <c r="E63" s="87"/>
      <c r="F63" s="87"/>
    </row>
    <row r="64" spans="1:6" x14ac:dyDescent="0.2">
      <c r="A64" s="73"/>
      <c r="B64" s="87"/>
      <c r="C64" s="87"/>
      <c r="D64" s="87"/>
      <c r="E64" s="87"/>
      <c r="F64" s="87"/>
    </row>
    <row r="65" spans="1:6" x14ac:dyDescent="0.2">
      <c r="A65" s="73"/>
      <c r="B65" s="87"/>
      <c r="C65" s="87"/>
      <c r="D65" s="87"/>
      <c r="E65" s="87"/>
      <c r="F65" s="87"/>
    </row>
    <row r="66" spans="1:6" x14ac:dyDescent="0.2">
      <c r="A66" s="73"/>
      <c r="B66" s="87"/>
      <c r="C66" s="87"/>
      <c r="D66" s="87"/>
      <c r="E66" s="87"/>
      <c r="F66" s="87"/>
    </row>
    <row r="67" spans="1:6" x14ac:dyDescent="0.2">
      <c r="A67" s="73"/>
      <c r="B67" s="87"/>
      <c r="C67" s="87"/>
      <c r="D67" s="87"/>
      <c r="E67" s="87"/>
      <c r="F67" s="87"/>
    </row>
    <row r="68" spans="1:6" x14ac:dyDescent="0.2">
      <c r="A68" s="73"/>
      <c r="B68" s="87"/>
      <c r="C68" s="87"/>
      <c r="D68" s="87"/>
      <c r="E68" s="87"/>
      <c r="F68" s="87"/>
    </row>
    <row r="69" spans="1:6" x14ac:dyDescent="0.2">
      <c r="A69" s="73"/>
      <c r="B69" s="87"/>
      <c r="C69" s="87"/>
      <c r="D69" s="87"/>
      <c r="E69" s="87"/>
      <c r="F69" s="87"/>
    </row>
    <row r="70" spans="1:6" x14ac:dyDescent="0.2">
      <c r="A70" s="73"/>
      <c r="B70" s="87"/>
      <c r="C70" s="87"/>
      <c r="D70" s="87"/>
      <c r="E70" s="87"/>
      <c r="F70" s="87"/>
    </row>
    <row r="71" spans="1:6" x14ac:dyDescent="0.2">
      <c r="A71" s="73"/>
      <c r="B71" s="87"/>
      <c r="C71" s="87"/>
      <c r="D71" s="87"/>
      <c r="E71" s="87"/>
      <c r="F71" s="87"/>
    </row>
    <row r="72" spans="1:6" x14ac:dyDescent="0.2">
      <c r="A72" s="73"/>
      <c r="B72" s="87"/>
      <c r="C72" s="87"/>
      <c r="D72" s="87"/>
      <c r="E72" s="87"/>
      <c r="F72" s="87"/>
    </row>
    <row r="73" spans="1:6" x14ac:dyDescent="0.2">
      <c r="A73" s="73"/>
      <c r="B73" s="87"/>
      <c r="C73" s="87"/>
      <c r="D73" s="87"/>
      <c r="E73" s="87"/>
      <c r="F73" s="87"/>
    </row>
    <row r="74" spans="1:6" x14ac:dyDescent="0.2">
      <c r="A74" s="73"/>
      <c r="B74" s="87"/>
      <c r="C74" s="87"/>
      <c r="D74" s="87"/>
      <c r="E74" s="87"/>
      <c r="F74" s="87"/>
    </row>
    <row r="75" spans="1:6" x14ac:dyDescent="0.2">
      <c r="A75" s="73"/>
      <c r="B75" s="87"/>
      <c r="C75" s="87"/>
      <c r="D75" s="87"/>
      <c r="E75" s="87"/>
      <c r="F75" s="87"/>
    </row>
    <row r="76" spans="1:6" x14ac:dyDescent="0.2">
      <c r="A76" s="73"/>
      <c r="B76" s="87"/>
      <c r="C76" s="87"/>
      <c r="D76" s="87"/>
      <c r="E76" s="87"/>
      <c r="F76" s="87"/>
    </row>
    <row r="77" spans="1:6" x14ac:dyDescent="0.2">
      <c r="A77" s="73"/>
      <c r="B77" s="87"/>
      <c r="C77" s="87"/>
      <c r="D77" s="87"/>
      <c r="E77" s="87"/>
      <c r="F77" s="87"/>
    </row>
    <row r="78" spans="1:6" x14ac:dyDescent="0.2">
      <c r="A78" s="73"/>
      <c r="B78" s="87"/>
      <c r="C78" s="87"/>
      <c r="D78" s="87"/>
      <c r="E78" s="87"/>
      <c r="F78" s="87"/>
    </row>
    <row r="79" spans="1:6" x14ac:dyDescent="0.2">
      <c r="A79" s="73"/>
      <c r="B79" s="87"/>
      <c r="C79" s="87"/>
      <c r="D79" s="87"/>
      <c r="E79" s="87"/>
      <c r="F79" s="87"/>
    </row>
    <row r="80" spans="1:6" x14ac:dyDescent="0.2">
      <c r="A80" s="73"/>
      <c r="B80" s="87"/>
      <c r="C80" s="87"/>
      <c r="D80" s="87"/>
      <c r="E80" s="87"/>
      <c r="F80" s="87"/>
    </row>
    <row r="81" spans="1:6" x14ac:dyDescent="0.2">
      <c r="A81" s="73"/>
      <c r="B81" s="87"/>
      <c r="C81" s="87"/>
      <c r="D81" s="87"/>
      <c r="E81" s="87"/>
      <c r="F81" s="87"/>
    </row>
    <row r="82" spans="1:6" x14ac:dyDescent="0.2">
      <c r="A82" s="73"/>
      <c r="B82" s="87"/>
      <c r="C82" s="87"/>
      <c r="D82" s="87"/>
      <c r="E82" s="87"/>
      <c r="F82" s="87"/>
    </row>
    <row r="83" spans="1:6" x14ac:dyDescent="0.2">
      <c r="A83" s="73"/>
      <c r="B83" s="87"/>
      <c r="C83" s="87"/>
      <c r="D83" s="87"/>
      <c r="E83" s="87"/>
      <c r="F83" s="87"/>
    </row>
    <row r="84" spans="1:6" x14ac:dyDescent="0.2">
      <c r="A84" s="73"/>
      <c r="B84" s="87"/>
      <c r="C84" s="87"/>
      <c r="D84" s="87"/>
      <c r="E84" s="87"/>
      <c r="F84" s="87"/>
    </row>
    <row r="85" spans="1:6" x14ac:dyDescent="0.2">
      <c r="A85" s="73"/>
      <c r="B85" s="87"/>
      <c r="C85" s="87"/>
      <c r="D85" s="87"/>
      <c r="E85" s="87"/>
      <c r="F85" s="87"/>
    </row>
    <row r="86" spans="1:6" x14ac:dyDescent="0.2">
      <c r="A86" s="73"/>
      <c r="B86" s="87"/>
      <c r="C86" s="87"/>
      <c r="D86" s="87"/>
      <c r="E86" s="87"/>
      <c r="F86" s="87"/>
    </row>
    <row r="87" spans="1:6" x14ac:dyDescent="0.2">
      <c r="A87" s="73"/>
      <c r="B87" s="87"/>
      <c r="C87" s="87"/>
      <c r="D87" s="87"/>
      <c r="E87" s="87"/>
      <c r="F87" s="87"/>
    </row>
    <row r="88" spans="1:6" x14ac:dyDescent="0.2">
      <c r="A88" s="73"/>
      <c r="B88" s="87"/>
      <c r="C88" s="87"/>
      <c r="D88" s="87"/>
      <c r="E88" s="87"/>
      <c r="F88" s="87"/>
    </row>
    <row r="89" spans="1:6" x14ac:dyDescent="0.2">
      <c r="A89" s="73"/>
      <c r="B89" s="87"/>
      <c r="C89" s="87"/>
      <c r="D89" s="87"/>
      <c r="E89" s="87"/>
      <c r="F89" s="87"/>
    </row>
    <row r="90" spans="1:6" x14ac:dyDescent="0.2">
      <c r="A90" s="73"/>
      <c r="B90" s="87"/>
      <c r="C90" s="87"/>
      <c r="D90" s="87"/>
      <c r="E90" s="87"/>
      <c r="F90" s="87"/>
    </row>
    <row r="91" spans="1:6" x14ac:dyDescent="0.2">
      <c r="A91" s="73"/>
      <c r="B91" s="87"/>
      <c r="C91" s="87"/>
      <c r="D91" s="87"/>
      <c r="E91" s="87"/>
      <c r="F91" s="87"/>
    </row>
    <row r="92" spans="1:6" x14ac:dyDescent="0.2">
      <c r="A92" s="73"/>
      <c r="B92" s="87"/>
      <c r="C92" s="87"/>
      <c r="D92" s="87"/>
      <c r="E92" s="87"/>
      <c r="F92" s="87"/>
    </row>
    <row r="93" spans="1:6" x14ac:dyDescent="0.2">
      <c r="A93" s="73"/>
      <c r="B93" s="87"/>
      <c r="C93" s="87"/>
      <c r="D93" s="87"/>
      <c r="E93" s="87"/>
      <c r="F93" s="87"/>
    </row>
    <row r="94" spans="1:6" x14ac:dyDescent="0.2">
      <c r="A94" s="73"/>
      <c r="B94" s="87"/>
      <c r="C94" s="87"/>
      <c r="D94" s="87"/>
      <c r="E94" s="87"/>
      <c r="F94" s="87"/>
    </row>
    <row r="95" spans="1:6" x14ac:dyDescent="0.2">
      <c r="A95" s="73"/>
      <c r="B95" s="87"/>
      <c r="C95" s="87"/>
      <c r="D95" s="87"/>
      <c r="E95" s="87"/>
      <c r="F95" s="87"/>
    </row>
    <row r="96" spans="1:6" x14ac:dyDescent="0.2">
      <c r="A96" s="73"/>
      <c r="B96" s="87"/>
      <c r="C96" s="87"/>
      <c r="D96" s="87"/>
      <c r="E96" s="87"/>
      <c r="F96" s="87"/>
    </row>
    <row r="97" spans="1:6" x14ac:dyDescent="0.2">
      <c r="A97" s="73"/>
      <c r="B97" s="87"/>
      <c r="C97" s="87"/>
      <c r="D97" s="87"/>
      <c r="E97" s="87"/>
      <c r="F97" s="87"/>
    </row>
    <row r="98" spans="1:6" x14ac:dyDescent="0.2">
      <c r="A98" s="73"/>
      <c r="B98" s="87"/>
      <c r="C98" s="87"/>
      <c r="D98" s="87"/>
      <c r="E98" s="87"/>
      <c r="F98" s="87"/>
    </row>
    <row r="99" spans="1:6" x14ac:dyDescent="0.2">
      <c r="A99" s="73"/>
      <c r="B99" s="87"/>
      <c r="C99" s="87"/>
      <c r="D99" s="87"/>
      <c r="E99" s="87"/>
      <c r="F99" s="87"/>
    </row>
    <row r="100" spans="1:6" x14ac:dyDescent="0.2">
      <c r="A100" s="73"/>
      <c r="B100" s="87"/>
      <c r="C100" s="87"/>
      <c r="D100" s="87"/>
      <c r="E100" s="87"/>
      <c r="F100" s="87"/>
    </row>
    <row r="101" spans="1:6" x14ac:dyDescent="0.2">
      <c r="A101" s="73"/>
      <c r="B101" s="87"/>
      <c r="C101" s="87"/>
      <c r="D101" s="87"/>
      <c r="E101" s="87"/>
      <c r="F101" s="87"/>
    </row>
    <row r="102" spans="1:6" x14ac:dyDescent="0.2">
      <c r="A102" s="73"/>
      <c r="B102" s="87"/>
      <c r="C102" s="87"/>
      <c r="D102" s="87"/>
      <c r="E102" s="87"/>
      <c r="F102" s="87"/>
    </row>
    <row r="103" spans="1:6" x14ac:dyDescent="0.2">
      <c r="A103" s="73"/>
      <c r="B103" s="87"/>
      <c r="C103" s="87"/>
      <c r="D103" s="87"/>
      <c r="E103" s="87"/>
      <c r="F103" s="87"/>
    </row>
    <row r="104" spans="1:6" x14ac:dyDescent="0.2">
      <c r="A104" s="73"/>
      <c r="B104" s="87"/>
      <c r="C104" s="87"/>
      <c r="D104" s="87"/>
      <c r="E104" s="87"/>
      <c r="F104" s="87"/>
    </row>
    <row r="105" spans="1:6" x14ac:dyDescent="0.2">
      <c r="A105" s="73"/>
      <c r="B105" s="87"/>
      <c r="C105" s="87"/>
      <c r="D105" s="87"/>
      <c r="E105" s="87"/>
      <c r="F105" s="87"/>
    </row>
    <row r="106" spans="1:6" x14ac:dyDescent="0.2">
      <c r="A106" s="73"/>
      <c r="B106" s="87"/>
      <c r="C106" s="87"/>
      <c r="D106" s="87"/>
      <c r="E106" s="87"/>
      <c r="F106" s="87"/>
    </row>
    <row r="107" spans="1:6" x14ac:dyDescent="0.2">
      <c r="A107" s="73"/>
      <c r="B107" s="87"/>
      <c r="C107" s="87"/>
      <c r="D107" s="87"/>
      <c r="E107" s="87"/>
      <c r="F107" s="87"/>
    </row>
    <row r="108" spans="1:6" x14ac:dyDescent="0.2">
      <c r="A108" s="73"/>
      <c r="B108" s="87"/>
      <c r="C108" s="87"/>
      <c r="D108" s="87"/>
      <c r="E108" s="87"/>
      <c r="F108" s="87"/>
    </row>
    <row r="109" spans="1:6" x14ac:dyDescent="0.2">
      <c r="A109" s="73"/>
      <c r="B109" s="87"/>
      <c r="C109" s="87"/>
      <c r="D109" s="87"/>
      <c r="E109" s="87"/>
      <c r="F109" s="87"/>
    </row>
    <row r="110" spans="1:6" x14ac:dyDescent="0.2">
      <c r="A110" s="73"/>
      <c r="B110" s="87"/>
      <c r="C110" s="87"/>
      <c r="D110" s="87"/>
      <c r="E110" s="87"/>
      <c r="F110" s="87"/>
    </row>
    <row r="111" spans="1:6" x14ac:dyDescent="0.2">
      <c r="A111" s="73"/>
      <c r="B111" s="87"/>
      <c r="C111" s="87"/>
      <c r="D111" s="87"/>
      <c r="E111" s="87"/>
      <c r="F111" s="87"/>
    </row>
    <row r="112" spans="1:6" x14ac:dyDescent="0.2">
      <c r="A112" s="73"/>
      <c r="B112" s="87"/>
      <c r="C112" s="87"/>
      <c r="D112" s="87"/>
      <c r="E112" s="87"/>
      <c r="F112" s="87"/>
    </row>
    <row r="113" spans="1:6" x14ac:dyDescent="0.2">
      <c r="A113" s="73"/>
      <c r="B113" s="87"/>
      <c r="C113" s="87"/>
      <c r="D113" s="87"/>
      <c r="E113" s="87"/>
      <c r="F113" s="87"/>
    </row>
    <row r="114" spans="1:6" x14ac:dyDescent="0.2">
      <c r="A114" s="73"/>
      <c r="B114" s="87"/>
      <c r="C114" s="87"/>
      <c r="D114" s="87"/>
      <c r="E114" s="87"/>
      <c r="F114" s="87"/>
    </row>
    <row r="115" spans="1:6" x14ac:dyDescent="0.2">
      <c r="A115" s="73"/>
      <c r="B115" s="87"/>
      <c r="C115" s="87"/>
      <c r="D115" s="87"/>
      <c r="E115" s="87"/>
      <c r="F115" s="87"/>
    </row>
    <row r="116" spans="1:6" x14ac:dyDescent="0.2">
      <c r="A116" s="73"/>
      <c r="B116" s="87"/>
      <c r="C116" s="87"/>
      <c r="D116" s="87"/>
      <c r="E116" s="87"/>
      <c r="F116" s="87"/>
    </row>
    <row r="117" spans="1:6" x14ac:dyDescent="0.2">
      <c r="A117" s="73"/>
      <c r="B117" s="87"/>
      <c r="C117" s="87"/>
      <c r="D117" s="87"/>
      <c r="E117" s="87"/>
      <c r="F117" s="87"/>
    </row>
    <row r="118" spans="1:6" x14ac:dyDescent="0.2">
      <c r="A118" s="73"/>
      <c r="B118" s="87"/>
      <c r="C118" s="87"/>
      <c r="D118" s="87"/>
      <c r="E118" s="87"/>
      <c r="F118" s="87"/>
    </row>
    <row r="119" spans="1:6" x14ac:dyDescent="0.2">
      <c r="A119" s="73"/>
      <c r="B119" s="87"/>
      <c r="C119" s="87"/>
      <c r="D119" s="87"/>
      <c r="E119" s="87"/>
      <c r="F119" s="87"/>
    </row>
    <row r="120" spans="1:6" x14ac:dyDescent="0.2">
      <c r="A120" s="73"/>
      <c r="B120" s="87"/>
      <c r="C120" s="87"/>
      <c r="D120" s="87"/>
      <c r="E120" s="87"/>
      <c r="F120" s="87"/>
    </row>
    <row r="121" spans="1:6" x14ac:dyDescent="0.2">
      <c r="A121" s="73"/>
      <c r="B121" s="87"/>
      <c r="C121" s="87"/>
      <c r="D121" s="87"/>
      <c r="E121" s="87"/>
      <c r="F121" s="87"/>
    </row>
    <row r="122" spans="1:6" x14ac:dyDescent="0.2">
      <c r="A122" s="73"/>
      <c r="B122" s="87"/>
      <c r="C122" s="87"/>
      <c r="D122" s="87"/>
      <c r="E122" s="87"/>
      <c r="F122" s="87"/>
    </row>
    <row r="123" spans="1:6" x14ac:dyDescent="0.2">
      <c r="A123" s="73"/>
      <c r="B123" s="87"/>
      <c r="C123" s="87"/>
      <c r="D123" s="87"/>
      <c r="E123" s="87"/>
      <c r="F123" s="87"/>
    </row>
    <row r="124" spans="1:6" x14ac:dyDescent="0.2">
      <c r="A124" s="73"/>
      <c r="B124" s="87"/>
      <c r="C124" s="87"/>
      <c r="D124" s="87"/>
      <c r="E124" s="87"/>
      <c r="F124" s="87"/>
    </row>
    <row r="125" spans="1:6" x14ac:dyDescent="0.2">
      <c r="A125" s="73"/>
      <c r="B125" s="87"/>
      <c r="C125" s="87"/>
      <c r="D125" s="87"/>
      <c r="E125" s="87"/>
      <c r="F125" s="87"/>
    </row>
    <row r="126" spans="1:6" x14ac:dyDescent="0.2">
      <c r="A126" s="73"/>
      <c r="B126" s="87"/>
      <c r="C126" s="87"/>
      <c r="D126" s="87"/>
      <c r="E126" s="87"/>
      <c r="F126" s="87"/>
    </row>
    <row r="127" spans="1:6" x14ac:dyDescent="0.2">
      <c r="A127" s="73"/>
      <c r="B127" s="87"/>
      <c r="C127" s="87"/>
      <c r="D127" s="87"/>
      <c r="E127" s="87"/>
      <c r="F127" s="87"/>
    </row>
    <row r="128" spans="1:6" x14ac:dyDescent="0.2">
      <c r="A128" s="73"/>
      <c r="B128" s="87"/>
      <c r="C128" s="87"/>
      <c r="D128" s="87"/>
      <c r="E128" s="87"/>
      <c r="F128" s="87"/>
    </row>
    <row r="129" spans="1:6" x14ac:dyDescent="0.2">
      <c r="A129" s="73"/>
      <c r="B129" s="87"/>
      <c r="C129" s="87"/>
      <c r="D129" s="87"/>
      <c r="E129" s="87"/>
      <c r="F129" s="87"/>
    </row>
    <row r="130" spans="1:6" x14ac:dyDescent="0.2">
      <c r="A130" s="73"/>
      <c r="B130" s="87"/>
      <c r="C130" s="87"/>
      <c r="D130" s="87"/>
      <c r="E130" s="87"/>
      <c r="F130" s="87"/>
    </row>
    <row r="131" spans="1:6" x14ac:dyDescent="0.2">
      <c r="A131" s="73"/>
      <c r="B131" s="87"/>
      <c r="C131" s="87"/>
      <c r="D131" s="87"/>
      <c r="E131" s="87"/>
      <c r="F131" s="87"/>
    </row>
    <row r="132" spans="1:6" x14ac:dyDescent="0.2">
      <c r="A132" s="73"/>
      <c r="B132" s="87"/>
      <c r="C132" s="87"/>
      <c r="D132" s="87"/>
      <c r="E132" s="87"/>
      <c r="F132" s="87"/>
    </row>
    <row r="133" spans="1:6" x14ac:dyDescent="0.2">
      <c r="A133" s="73"/>
      <c r="B133" s="87"/>
      <c r="C133" s="87"/>
      <c r="D133" s="87"/>
      <c r="E133" s="87"/>
      <c r="F133" s="87"/>
    </row>
    <row r="134" spans="1:6" x14ac:dyDescent="0.2">
      <c r="A134" s="73"/>
      <c r="B134" s="87"/>
      <c r="C134" s="87"/>
      <c r="D134" s="87"/>
      <c r="E134" s="87"/>
      <c r="F134" s="87"/>
    </row>
    <row r="135" spans="1:6" x14ac:dyDescent="0.2">
      <c r="A135" s="73"/>
      <c r="B135" s="87"/>
      <c r="C135" s="87"/>
      <c r="D135" s="87"/>
      <c r="E135" s="87"/>
      <c r="F135" s="87"/>
    </row>
    <row r="136" spans="1:6" x14ac:dyDescent="0.2">
      <c r="A136" s="73"/>
      <c r="B136" s="87"/>
      <c r="C136" s="87"/>
      <c r="D136" s="87"/>
      <c r="E136" s="87"/>
      <c r="F136" s="87"/>
    </row>
    <row r="137" spans="1:6" x14ac:dyDescent="0.2">
      <c r="A137" s="73"/>
      <c r="B137" s="87"/>
      <c r="C137" s="87"/>
      <c r="D137" s="87"/>
      <c r="E137" s="87"/>
      <c r="F137" s="87"/>
    </row>
    <row r="138" spans="1:6" x14ac:dyDescent="0.2">
      <c r="A138" s="73"/>
      <c r="B138" s="87"/>
      <c r="C138" s="87"/>
      <c r="D138" s="87"/>
      <c r="E138" s="87"/>
      <c r="F138" s="87"/>
    </row>
    <row r="139" spans="1:6" x14ac:dyDescent="0.2">
      <c r="A139" s="73"/>
      <c r="B139" s="87"/>
      <c r="C139" s="87"/>
      <c r="D139" s="87"/>
      <c r="E139" s="87"/>
      <c r="F139" s="87"/>
    </row>
    <row r="140" spans="1:6" x14ac:dyDescent="0.2">
      <c r="A140" s="73"/>
      <c r="B140" s="87"/>
      <c r="C140" s="87"/>
      <c r="D140" s="87"/>
      <c r="E140" s="87"/>
      <c r="F140" s="87"/>
    </row>
    <row r="141" spans="1:6" x14ac:dyDescent="0.2">
      <c r="A141" s="73"/>
      <c r="B141" s="87"/>
      <c r="C141" s="87"/>
      <c r="D141" s="87"/>
      <c r="E141" s="87"/>
      <c r="F141" s="87"/>
    </row>
    <row r="142" spans="1:6" x14ac:dyDescent="0.2">
      <c r="A142" s="73"/>
      <c r="B142" s="87"/>
      <c r="C142" s="87"/>
      <c r="D142" s="87"/>
      <c r="E142" s="87"/>
      <c r="F142" s="87"/>
    </row>
    <row r="143" spans="1:6" x14ac:dyDescent="0.2">
      <c r="A143" s="73"/>
      <c r="B143" s="87"/>
      <c r="C143" s="87"/>
      <c r="D143" s="87"/>
      <c r="E143" s="87"/>
      <c r="F143" s="87"/>
    </row>
    <row r="144" spans="1:6" x14ac:dyDescent="0.2">
      <c r="A144" s="73"/>
      <c r="B144" s="87"/>
      <c r="C144" s="87"/>
      <c r="D144" s="87"/>
      <c r="E144" s="87"/>
      <c r="F144" s="87"/>
    </row>
    <row r="145" spans="1:6" x14ac:dyDescent="0.2">
      <c r="A145" s="73"/>
      <c r="B145" s="87"/>
      <c r="C145" s="87"/>
      <c r="D145" s="87"/>
      <c r="E145" s="87"/>
      <c r="F145" s="87"/>
    </row>
    <row r="146" spans="1:6" x14ac:dyDescent="0.2">
      <c r="A146" s="73"/>
      <c r="B146" s="87"/>
      <c r="C146" s="87"/>
      <c r="D146" s="87"/>
      <c r="E146" s="87"/>
      <c r="F146" s="87"/>
    </row>
    <row r="147" spans="1:6" x14ac:dyDescent="0.2">
      <c r="A147" s="73"/>
      <c r="B147" s="87"/>
      <c r="C147" s="87"/>
      <c r="D147" s="87"/>
      <c r="E147" s="87"/>
      <c r="F147" s="87"/>
    </row>
    <row r="148" spans="1:6" x14ac:dyDescent="0.2">
      <c r="A148" s="73"/>
      <c r="B148" s="87"/>
      <c r="C148" s="87"/>
      <c r="D148" s="87"/>
      <c r="E148" s="87"/>
      <c r="F148" s="87"/>
    </row>
    <row r="149" spans="1:6" x14ac:dyDescent="0.2">
      <c r="A149" s="73"/>
      <c r="B149" s="87"/>
      <c r="C149" s="87"/>
      <c r="D149" s="87"/>
      <c r="E149" s="87"/>
      <c r="F149" s="87"/>
    </row>
    <row r="150" spans="1:6" x14ac:dyDescent="0.2">
      <c r="A150" s="73"/>
      <c r="B150" s="87"/>
      <c r="C150" s="87"/>
      <c r="D150" s="87"/>
      <c r="E150" s="87"/>
      <c r="F150" s="87"/>
    </row>
    <row r="151" spans="1:6" x14ac:dyDescent="0.2">
      <c r="A151" s="73"/>
      <c r="B151" s="87"/>
      <c r="C151" s="87"/>
      <c r="D151" s="87"/>
      <c r="E151" s="87"/>
      <c r="F151" s="87"/>
    </row>
    <row r="152" spans="1:6" x14ac:dyDescent="0.2">
      <c r="A152" s="73"/>
      <c r="B152" s="87"/>
      <c r="C152" s="87"/>
      <c r="D152" s="87"/>
      <c r="E152" s="87"/>
      <c r="F152" s="87"/>
    </row>
    <row r="153" spans="1:6" x14ac:dyDescent="0.2">
      <c r="A153" s="73"/>
      <c r="B153" s="87"/>
      <c r="C153" s="87"/>
      <c r="D153" s="87"/>
      <c r="E153" s="87"/>
      <c r="F153" s="87"/>
    </row>
    <row r="154" spans="1:6" x14ac:dyDescent="0.2">
      <c r="A154" s="73"/>
      <c r="B154" s="87"/>
      <c r="C154" s="87"/>
      <c r="D154" s="87"/>
      <c r="E154" s="87"/>
      <c r="F154" s="87"/>
    </row>
    <row r="155" spans="1:6" x14ac:dyDescent="0.2">
      <c r="A155" s="73"/>
      <c r="B155" s="87"/>
      <c r="C155" s="87"/>
      <c r="D155" s="87"/>
      <c r="E155" s="87"/>
      <c r="F155" s="87"/>
    </row>
    <row r="156" spans="1:6" x14ac:dyDescent="0.2">
      <c r="A156" s="73"/>
      <c r="B156" s="87"/>
      <c r="C156" s="87"/>
      <c r="D156" s="87"/>
      <c r="E156" s="87"/>
      <c r="F156" s="87"/>
    </row>
    <row r="157" spans="1:6" x14ac:dyDescent="0.2">
      <c r="A157" s="73"/>
      <c r="B157" s="87"/>
      <c r="C157" s="87"/>
      <c r="D157" s="87"/>
      <c r="E157" s="87"/>
      <c r="F157" s="87"/>
    </row>
    <row r="158" spans="1:6" x14ac:dyDescent="0.2">
      <c r="A158" s="73"/>
      <c r="B158" s="87"/>
      <c r="C158" s="87"/>
      <c r="D158" s="87"/>
      <c r="E158" s="87"/>
      <c r="F158" s="87"/>
    </row>
    <row r="159" spans="1:6" x14ac:dyDescent="0.2">
      <c r="A159" s="73"/>
      <c r="B159" s="87"/>
      <c r="C159" s="87"/>
      <c r="D159" s="87"/>
      <c r="E159" s="87"/>
      <c r="F159" s="87"/>
    </row>
    <row r="160" spans="1:6" x14ac:dyDescent="0.2">
      <c r="A160" s="73"/>
      <c r="B160" s="87"/>
      <c r="C160" s="87"/>
      <c r="D160" s="87"/>
      <c r="E160" s="87"/>
      <c r="F160" s="87"/>
    </row>
    <row r="161" spans="1:6" x14ac:dyDescent="0.2">
      <c r="A161" s="73"/>
      <c r="B161" s="87"/>
      <c r="C161" s="87"/>
      <c r="D161" s="87"/>
      <c r="E161" s="87"/>
      <c r="F161" s="87"/>
    </row>
    <row r="162" spans="1:6" x14ac:dyDescent="0.2">
      <c r="A162" s="73"/>
      <c r="B162" s="87"/>
      <c r="C162" s="87"/>
      <c r="D162" s="87"/>
      <c r="E162" s="87"/>
      <c r="F162" s="87"/>
    </row>
  </sheetData>
  <mergeCells count="23">
    <mergeCell ref="J5:O5"/>
    <mergeCell ref="J6:O6"/>
    <mergeCell ref="J7:O7"/>
    <mergeCell ref="G8:H8"/>
    <mergeCell ref="A1:B1"/>
    <mergeCell ref="C1:F1"/>
    <mergeCell ref="A3:B3"/>
    <mergeCell ref="E3:G3"/>
    <mergeCell ref="A2:B2"/>
    <mergeCell ref="C2:F2"/>
    <mergeCell ref="A15:B15"/>
    <mergeCell ref="D13:E13"/>
    <mergeCell ref="D14:E14"/>
    <mergeCell ref="A12:B12"/>
    <mergeCell ref="A4:B4"/>
    <mergeCell ref="E4:G4"/>
    <mergeCell ref="E5:G5"/>
    <mergeCell ref="E6:G6"/>
    <mergeCell ref="A7:B7"/>
    <mergeCell ref="A5:B5"/>
    <mergeCell ref="A6:B6"/>
    <mergeCell ref="G10:H10"/>
    <mergeCell ref="G9:H9"/>
  </mergeCells>
  <conditionalFormatting sqref="C3">
    <cfRule type="expression" dxfId="0" priority="4" stopIfTrue="1">
      <formula>#REF!="A"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Waypointbox2">
          <controlPr autoLine="0" r:id="rId5">
            <anchor moveWithCells="1">
              <from>
                <xdr:col>4</xdr:col>
                <xdr:colOff>219075</xdr:colOff>
                <xdr:row>9</xdr:row>
                <xdr:rowOff>28575</xdr:rowOff>
              </from>
              <to>
                <xdr:col>5</xdr:col>
                <xdr:colOff>752475</xdr:colOff>
                <xdr:row>10</xdr:row>
                <xdr:rowOff>66675</xdr:rowOff>
              </to>
            </anchor>
          </controlPr>
        </control>
      </mc:Choice>
      <mc:Fallback>
        <control shapeId="1033" r:id="rId4" name="Waypointbox2"/>
      </mc:Fallback>
    </mc:AlternateContent>
    <mc:AlternateContent xmlns:mc="http://schemas.openxmlformats.org/markup-compatibility/2006">
      <mc:Choice Requires="x14">
        <control shapeId="1032" r:id="rId6" name="WaypointWindowbox">
          <controlPr autoLine="0" autoPict="0" r:id="rId7">
            <anchor moveWithCells="1">
              <from>
                <xdr:col>4</xdr:col>
                <xdr:colOff>123825</xdr:colOff>
                <xdr:row>14</xdr:row>
                <xdr:rowOff>19050</xdr:rowOff>
              </from>
              <to>
                <xdr:col>5</xdr:col>
                <xdr:colOff>47625</xdr:colOff>
                <xdr:row>15</xdr:row>
                <xdr:rowOff>104775</xdr:rowOff>
              </to>
            </anchor>
          </controlPr>
        </control>
      </mc:Choice>
      <mc:Fallback>
        <control shapeId="1032" r:id="rId6" name="WaypointWindowbox"/>
      </mc:Fallback>
    </mc:AlternateContent>
    <mc:AlternateContent xmlns:mc="http://schemas.openxmlformats.org/markup-compatibility/2006">
      <mc:Choice Requires="x14">
        <control shapeId="1026" r:id="rId8" name="Route">
          <controlPr defaultSize="0" autoLine="0" r:id="rId9">
            <anchor moveWithCells="1">
              <from>
                <xdr:col>1</xdr:col>
                <xdr:colOff>981075</xdr:colOff>
                <xdr:row>6</xdr:row>
                <xdr:rowOff>0</xdr:rowOff>
              </from>
              <to>
                <xdr:col>3</xdr:col>
                <xdr:colOff>57150</xdr:colOff>
                <xdr:row>7</xdr:row>
                <xdr:rowOff>28575</xdr:rowOff>
              </to>
            </anchor>
          </controlPr>
        </control>
      </mc:Choice>
      <mc:Fallback>
        <control shapeId="1026" r:id="rId8" name="Route"/>
      </mc:Fallback>
    </mc:AlternateContent>
    <mc:AlternateContent xmlns:mc="http://schemas.openxmlformats.org/markup-compatibility/2006">
      <mc:Choice Requires="x14">
        <control shapeId="1028" r:id="rId10" name="ScheepsType">
          <controlPr defaultSize="0" autoLine="0" autoPict="0" r:id="rId11">
            <anchor moveWithCells="1" sizeWithCells="1">
              <from>
                <xdr:col>2</xdr:col>
                <xdr:colOff>9525</xdr:colOff>
                <xdr:row>2</xdr:row>
                <xdr:rowOff>9525</xdr:rowOff>
              </from>
              <to>
                <xdr:col>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8" r:id="rId10" name="ScheepsType"/>
      </mc:Fallback>
    </mc:AlternateContent>
    <mc:AlternateContent xmlns:mc="http://schemas.openxmlformats.org/markup-compatibility/2006">
      <mc:Choice Requires="x14">
        <control shapeId="1031" r:id="rId12" name="Waypointsbox">
          <controlPr autoLine="0" autoPict="0" r:id="rId13">
            <anchor moveWithCells="1">
              <from>
                <xdr:col>4</xdr:col>
                <xdr:colOff>219075</xdr:colOff>
                <xdr:row>7</xdr:row>
                <xdr:rowOff>190500</xdr:rowOff>
              </from>
              <to>
                <xdr:col>5</xdr:col>
                <xdr:colOff>752475</xdr:colOff>
                <xdr:row>9</xdr:row>
                <xdr:rowOff>28575</xdr:rowOff>
              </to>
            </anchor>
          </controlPr>
        </control>
      </mc:Choice>
      <mc:Fallback>
        <control shapeId="1031" r:id="rId12" name="Waypointsbox"/>
      </mc:Fallback>
    </mc:AlternateContent>
    <mc:AlternateContent xmlns:mc="http://schemas.openxmlformats.org/markup-compatibility/2006">
      <mc:Choice Requires="x14">
        <control shapeId="1027" r:id="rId14" name="Button 3">
          <controlPr defaultSize="0" print="0" autoFill="0" autoPict="0" macro="[0]!SearchMaxDraught">
            <anchor moveWithCells="1" sizeWithCells="1">
              <from>
                <xdr:col>0</xdr:col>
                <xdr:colOff>257175</xdr:colOff>
                <xdr:row>12</xdr:row>
                <xdr:rowOff>114300</xdr:rowOff>
              </from>
              <to>
                <xdr:col>2</xdr:col>
                <xdr:colOff>152400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5" name="Button 5">
          <controlPr defaultSize="0" print="0" autoFill="0" autoPict="0" macro="[0]!FinalizeVoyage">
            <anchor moveWithCells="1" sizeWithCells="1">
              <from>
                <xdr:col>8</xdr:col>
                <xdr:colOff>781050</xdr:colOff>
                <xdr:row>0</xdr:row>
                <xdr:rowOff>180975</xdr:rowOff>
              </from>
              <to>
                <xdr:col>12</xdr:col>
                <xdr:colOff>266700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HI39"/>
  <sheetViews>
    <sheetView showGridLines="0" zoomScaleNormal="100" workbookViewId="0">
      <selection activeCell="B32" sqref="B32"/>
    </sheetView>
  </sheetViews>
  <sheetFormatPr defaultRowHeight="12.75" x14ac:dyDescent="0.2"/>
  <cols>
    <col min="1" max="1" width="16.5703125" bestFit="1" customWidth="1"/>
    <col min="2" max="2" width="14.5703125" bestFit="1" customWidth="1"/>
    <col min="3" max="3" width="10.5703125" style="31" customWidth="1"/>
    <col min="4" max="4" width="9.42578125" bestFit="1" customWidth="1"/>
    <col min="5" max="5" width="13.85546875" bestFit="1" customWidth="1"/>
    <col min="6" max="6" width="8.42578125" bestFit="1" customWidth="1"/>
    <col min="7" max="7" width="5" bestFit="1" customWidth="1"/>
    <col min="8" max="9" width="16.7109375" customWidth="1"/>
    <col min="10" max="10" width="6" style="31" bestFit="1" customWidth="1"/>
    <col min="11" max="12" width="16.7109375" customWidth="1"/>
    <col min="13" max="13" width="6" style="31" bestFit="1" customWidth="1"/>
    <col min="14" max="15" width="16.7109375" customWidth="1"/>
    <col min="16" max="16" width="6" style="31" bestFit="1" customWidth="1"/>
    <col min="17" max="18" width="16.7109375" customWidth="1"/>
    <col min="19" max="19" width="6" style="31" bestFit="1" customWidth="1"/>
    <col min="20" max="21" width="16.7109375" customWidth="1"/>
    <col min="22" max="22" width="6" style="31" bestFit="1" customWidth="1"/>
    <col min="23" max="24" width="16.7109375" customWidth="1"/>
    <col min="25" max="25" width="6" style="31" bestFit="1" customWidth="1"/>
    <col min="26" max="27" width="16.7109375" customWidth="1"/>
    <col min="28" max="28" width="5.7109375" style="31" bestFit="1" customWidth="1"/>
  </cols>
  <sheetData>
    <row r="1" spans="1:217" x14ac:dyDescent="0.2">
      <c r="A1" s="8" t="s">
        <v>43</v>
      </c>
      <c r="B1" s="9">
        <f>VAARPLAN!G8</f>
        <v>41738</v>
      </c>
      <c r="C1" s="32"/>
      <c r="D1" s="8"/>
      <c r="E1" s="8"/>
      <c r="F1" s="8"/>
      <c r="G1" s="8"/>
      <c r="K1" s="7"/>
    </row>
    <row r="2" spans="1:217" x14ac:dyDescent="0.2">
      <c r="A2" s="8" t="s">
        <v>44</v>
      </c>
      <c r="B2" s="15">
        <f>VAARPLAN!C4</f>
        <v>150</v>
      </c>
      <c r="C2" s="72" t="s">
        <v>9</v>
      </c>
      <c r="D2" s="8"/>
      <c r="E2" s="8"/>
      <c r="F2" s="8"/>
      <c r="G2" s="8"/>
      <c r="I2" s="14"/>
      <c r="J2" s="37"/>
      <c r="K2" s="13"/>
      <c r="L2" s="11"/>
      <c r="M2" s="36"/>
      <c r="N2" s="13"/>
      <c r="O2" s="14"/>
      <c r="P2" s="37"/>
      <c r="Q2" s="13"/>
      <c r="R2" s="14"/>
      <c r="S2" s="37"/>
      <c r="T2" s="10"/>
      <c r="U2" s="10"/>
    </row>
    <row r="3" spans="1:217" x14ac:dyDescent="0.2">
      <c r="A3" s="8"/>
      <c r="B3" s="16"/>
      <c r="C3" s="32"/>
      <c r="D3" s="8"/>
      <c r="E3" s="8"/>
      <c r="F3" s="8"/>
      <c r="G3" s="8"/>
      <c r="I3" s="14"/>
      <c r="J3" s="37"/>
      <c r="K3" s="13"/>
      <c r="L3" s="11"/>
      <c r="M3" s="36"/>
      <c r="N3" s="13"/>
      <c r="O3" s="14"/>
      <c r="P3" s="37"/>
      <c r="Q3" s="13"/>
      <c r="R3" s="14"/>
      <c r="S3" s="37"/>
      <c r="T3" s="10"/>
      <c r="U3" s="10"/>
    </row>
    <row r="4" spans="1:217" ht="13.5" thickBot="1" x14ac:dyDescent="0.25">
      <c r="H4" s="156" t="s">
        <v>45</v>
      </c>
      <c r="I4" s="156"/>
      <c r="J4" s="156"/>
      <c r="K4" s="156"/>
      <c r="L4" s="156"/>
      <c r="M4" s="156"/>
      <c r="N4" s="156"/>
      <c r="O4" s="156"/>
      <c r="P4" s="156"/>
      <c r="Q4" s="156"/>
      <c r="R4" s="156"/>
      <c r="S4" s="156"/>
      <c r="T4" s="156"/>
      <c r="U4" s="156"/>
      <c r="V4" s="156"/>
      <c r="W4" s="156"/>
      <c r="X4" s="156"/>
      <c r="Y4" s="156"/>
      <c r="Z4" s="156"/>
      <c r="AA4" s="156"/>
      <c r="AB4" s="156"/>
    </row>
    <row r="5" spans="1:217" ht="13.5" thickBot="1" x14ac:dyDescent="0.25">
      <c r="A5" s="39" t="s">
        <v>24</v>
      </c>
      <c r="B5" s="39" t="s">
        <v>46</v>
      </c>
      <c r="C5" s="57" t="s">
        <v>35</v>
      </c>
      <c r="D5" s="40" t="s">
        <v>47</v>
      </c>
      <c r="E5" s="52" t="s">
        <v>48</v>
      </c>
      <c r="F5" s="40" t="s">
        <v>50</v>
      </c>
      <c r="G5" s="41" t="s">
        <v>49</v>
      </c>
      <c r="H5" s="20" t="s">
        <v>25</v>
      </c>
      <c r="I5" s="21" t="s">
        <v>26</v>
      </c>
      <c r="J5" s="33" t="s">
        <v>27</v>
      </c>
      <c r="K5" s="20" t="s">
        <v>25</v>
      </c>
      <c r="L5" s="21" t="s">
        <v>26</v>
      </c>
      <c r="M5" s="33" t="s">
        <v>27</v>
      </c>
      <c r="N5" s="20" t="s">
        <v>25</v>
      </c>
      <c r="O5" s="21" t="s">
        <v>26</v>
      </c>
      <c r="P5" s="33" t="s">
        <v>27</v>
      </c>
      <c r="Q5" s="20" t="s">
        <v>25</v>
      </c>
      <c r="R5" s="21" t="s">
        <v>26</v>
      </c>
      <c r="S5" s="33" t="s">
        <v>27</v>
      </c>
      <c r="T5" s="20" t="s">
        <v>25</v>
      </c>
      <c r="U5" s="21" t="s">
        <v>26</v>
      </c>
      <c r="V5" s="33" t="s">
        <v>27</v>
      </c>
      <c r="W5" s="20" t="s">
        <v>25</v>
      </c>
      <c r="X5" s="21" t="s">
        <v>26</v>
      </c>
      <c r="Y5" s="33" t="s">
        <v>27</v>
      </c>
      <c r="Z5" s="20" t="s">
        <v>25</v>
      </c>
      <c r="AA5" s="21" t="s">
        <v>26</v>
      </c>
      <c r="AB5" s="38" t="s">
        <v>27</v>
      </c>
    </row>
    <row r="6" spans="1:217" x14ac:dyDescent="0.2">
      <c r="A6" s="6" t="s">
        <v>90</v>
      </c>
      <c r="B6" s="5">
        <v>200</v>
      </c>
      <c r="C6" s="58" t="s">
        <v>166</v>
      </c>
      <c r="D6" s="5">
        <v>0</v>
      </c>
      <c r="E6" s="5">
        <v>0</v>
      </c>
      <c r="F6" s="5">
        <v>0</v>
      </c>
      <c r="G6" s="53">
        <v>0</v>
      </c>
      <c r="H6" s="22">
        <v>41737.625</v>
      </c>
      <c r="I6" s="18">
        <v>41739</v>
      </c>
      <c r="J6" s="34" t="s">
        <v>167</v>
      </c>
      <c r="K6" s="22"/>
      <c r="L6" s="18"/>
      <c r="M6" s="34"/>
      <c r="N6" s="22"/>
      <c r="O6" s="18"/>
      <c r="P6" s="34"/>
      <c r="Q6" s="22"/>
      <c r="R6" s="18"/>
      <c r="S6" s="34"/>
      <c r="T6" s="22"/>
      <c r="U6" s="18"/>
      <c r="V6" s="34"/>
      <c r="W6" s="22"/>
      <c r="X6" s="18"/>
      <c r="Y6" s="34"/>
      <c r="Z6" s="22"/>
      <c r="AA6" s="18"/>
      <c r="AB6" s="35"/>
    </row>
    <row r="7" spans="1:217" x14ac:dyDescent="0.2">
      <c r="A7" s="6" t="s">
        <v>91</v>
      </c>
      <c r="B7" s="5">
        <v>180</v>
      </c>
      <c r="C7" s="58" t="s">
        <v>166</v>
      </c>
      <c r="D7" s="5">
        <v>0</v>
      </c>
      <c r="E7" s="5">
        <v>0</v>
      </c>
      <c r="F7" s="5">
        <v>5.5</v>
      </c>
      <c r="G7" s="53">
        <v>1.7361111111111112E-2</v>
      </c>
      <c r="H7" s="23">
        <v>41737.625</v>
      </c>
      <c r="I7" s="19">
        <v>41739</v>
      </c>
      <c r="J7" s="35" t="s">
        <v>167</v>
      </c>
      <c r="K7" s="23"/>
      <c r="L7" s="19"/>
      <c r="M7" s="35"/>
      <c r="N7" s="23"/>
      <c r="O7" s="19"/>
      <c r="P7" s="35"/>
      <c r="Q7" s="23"/>
      <c r="R7" s="19"/>
      <c r="S7" s="35"/>
      <c r="T7" s="54"/>
      <c r="U7" s="55"/>
      <c r="V7" s="35"/>
      <c r="W7" s="54"/>
      <c r="X7" s="55"/>
      <c r="Y7" s="35"/>
      <c r="Z7" s="54"/>
      <c r="AA7" s="55"/>
      <c r="AB7" s="35"/>
      <c r="AC7" s="56"/>
      <c r="AD7" s="56"/>
      <c r="AE7" s="48"/>
      <c r="AF7" s="56"/>
      <c r="AG7" s="56"/>
      <c r="AH7" s="48"/>
      <c r="AI7" s="56"/>
      <c r="AJ7" s="56"/>
      <c r="AK7" s="48"/>
      <c r="AL7" s="56"/>
      <c r="AM7" s="56"/>
      <c r="AN7" s="48"/>
      <c r="AO7" s="56"/>
      <c r="AP7" s="56"/>
      <c r="AQ7" s="48"/>
      <c r="AR7" s="56"/>
      <c r="AS7" s="56"/>
      <c r="AT7" s="48"/>
      <c r="AU7" s="56"/>
      <c r="AV7" s="56"/>
      <c r="AW7" s="48"/>
      <c r="AX7" s="56"/>
      <c r="AY7" s="56"/>
      <c r="AZ7" s="48"/>
      <c r="BA7" s="56"/>
      <c r="BB7" s="56"/>
      <c r="BC7" s="48"/>
      <c r="BD7" s="56"/>
      <c r="BE7" s="56"/>
      <c r="BF7" s="48"/>
      <c r="BG7" s="56"/>
      <c r="BH7" s="56"/>
      <c r="BI7" s="48"/>
      <c r="BJ7" s="10"/>
      <c r="BK7" s="10"/>
      <c r="BL7" s="48"/>
      <c r="BM7" s="56"/>
      <c r="BN7" s="56"/>
      <c r="BO7" s="48"/>
      <c r="BP7" s="56"/>
      <c r="BQ7" s="56"/>
      <c r="BR7" s="48"/>
      <c r="BS7" s="56"/>
      <c r="BT7" s="56"/>
      <c r="BU7" s="48"/>
      <c r="BV7" s="56"/>
      <c r="BW7" s="56"/>
      <c r="BX7" s="48"/>
      <c r="BY7" s="56"/>
      <c r="BZ7" s="56"/>
      <c r="CA7" s="48"/>
      <c r="CB7" s="56"/>
      <c r="CC7" s="56"/>
      <c r="CD7" s="48"/>
      <c r="CE7" s="56"/>
      <c r="CF7" s="56"/>
      <c r="CG7" s="48"/>
      <c r="CH7" s="56"/>
      <c r="CI7" s="56"/>
      <c r="CJ7" s="48"/>
      <c r="CK7" s="56"/>
      <c r="CL7" s="56"/>
      <c r="CM7" s="48"/>
      <c r="CN7" s="56"/>
      <c r="CO7" s="56"/>
      <c r="CP7" s="48"/>
      <c r="CQ7" s="10"/>
      <c r="CR7" s="10"/>
      <c r="CS7" s="48"/>
    </row>
    <row r="8" spans="1:217" x14ac:dyDescent="0.2">
      <c r="A8" s="6" t="s">
        <v>92</v>
      </c>
      <c r="B8" s="5">
        <v>161</v>
      </c>
      <c r="C8" s="58" t="s">
        <v>166</v>
      </c>
      <c r="D8" s="5">
        <v>0</v>
      </c>
      <c r="E8" s="5">
        <v>11.5</v>
      </c>
      <c r="F8" s="5">
        <v>9.2200000000000131</v>
      </c>
      <c r="G8" s="53">
        <v>2.9166666666666664E-2</v>
      </c>
      <c r="H8" s="23">
        <v>41737.626666666663</v>
      </c>
      <c r="I8" s="19">
        <v>41738.994722222225</v>
      </c>
      <c r="J8" s="35" t="s">
        <v>168</v>
      </c>
      <c r="K8" s="23"/>
      <c r="L8" s="19"/>
      <c r="M8" s="35"/>
      <c r="N8" s="23"/>
      <c r="O8" s="19"/>
      <c r="P8" s="35"/>
      <c r="Q8" s="23"/>
      <c r="R8" s="19"/>
      <c r="S8" s="35"/>
      <c r="T8" s="54"/>
      <c r="U8" s="55"/>
      <c r="V8" s="35"/>
      <c r="W8" s="54"/>
      <c r="X8" s="55"/>
      <c r="Y8" s="35"/>
      <c r="Z8" s="54"/>
      <c r="AA8" s="55"/>
      <c r="AB8" s="35"/>
      <c r="AC8" s="56"/>
      <c r="AD8" s="56"/>
      <c r="AE8" s="48"/>
      <c r="AF8" s="56"/>
      <c r="AG8" s="56"/>
      <c r="AH8" s="48"/>
      <c r="AI8" s="56"/>
      <c r="AJ8" s="56"/>
      <c r="AK8" s="48"/>
      <c r="AL8" s="56"/>
      <c r="AM8" s="56"/>
      <c r="AN8" s="48"/>
      <c r="AO8" s="56"/>
      <c r="AP8" s="56"/>
      <c r="AQ8" s="48"/>
      <c r="AR8" s="56"/>
      <c r="AS8" s="56"/>
      <c r="AT8" s="48"/>
      <c r="AU8" s="56"/>
      <c r="AV8" s="56"/>
      <c r="AW8" s="48"/>
      <c r="AX8" s="56"/>
      <c r="AY8" s="56"/>
      <c r="AZ8" s="48"/>
      <c r="BA8" s="56"/>
      <c r="BB8" s="56"/>
      <c r="BC8" s="48"/>
      <c r="BD8" s="56"/>
      <c r="BE8" s="56"/>
      <c r="BF8" s="48"/>
      <c r="BG8" s="56"/>
      <c r="BH8" s="56"/>
      <c r="BI8" s="48"/>
      <c r="BJ8" s="10"/>
      <c r="BK8" s="10"/>
      <c r="BL8" s="48"/>
      <c r="BM8" s="56"/>
      <c r="BN8" s="56"/>
      <c r="BO8" s="48"/>
      <c r="BP8" s="56"/>
      <c r="BQ8" s="56"/>
      <c r="BR8" s="48"/>
      <c r="BS8" s="56"/>
      <c r="BT8" s="56"/>
      <c r="BU8" s="48"/>
      <c r="BV8" s="56"/>
      <c r="BW8" s="56"/>
      <c r="BX8" s="48"/>
      <c r="BY8" s="56"/>
      <c r="BZ8" s="56"/>
      <c r="CA8" s="48"/>
      <c r="CB8" s="56"/>
      <c r="CC8" s="56"/>
      <c r="CD8" s="48"/>
      <c r="CE8" s="56"/>
      <c r="CF8" s="56"/>
      <c r="CG8" s="48"/>
      <c r="CH8" s="56"/>
      <c r="CI8" s="56"/>
      <c r="CJ8" s="48"/>
      <c r="CK8" s="56"/>
      <c r="CL8" s="56"/>
      <c r="CM8" s="48"/>
      <c r="CN8" s="56"/>
      <c r="CO8" s="56"/>
      <c r="CP8" s="48"/>
      <c r="CQ8" s="56"/>
      <c r="CR8" s="56"/>
      <c r="CS8" s="48"/>
      <c r="CT8" s="10"/>
      <c r="CU8" s="10"/>
      <c r="CV8" s="48"/>
    </row>
    <row r="9" spans="1:217" x14ac:dyDescent="0.2">
      <c r="A9" s="6" t="s">
        <v>93</v>
      </c>
      <c r="B9" s="5">
        <v>161</v>
      </c>
      <c r="C9" s="58" t="s">
        <v>166</v>
      </c>
      <c r="D9" s="5">
        <v>0</v>
      </c>
      <c r="E9" s="5">
        <v>11.5</v>
      </c>
      <c r="F9" s="5">
        <v>12.430000000000007</v>
      </c>
      <c r="G9" s="53">
        <v>3.9583333333333331E-2</v>
      </c>
      <c r="H9" s="23">
        <v>41737.630578703705</v>
      </c>
      <c r="I9" s="19">
        <v>41738.99863425926</v>
      </c>
      <c r="J9" s="35" t="s">
        <v>168</v>
      </c>
      <c r="K9" s="23"/>
      <c r="L9" s="19"/>
      <c r="M9" s="35"/>
      <c r="N9" s="23"/>
      <c r="O9" s="19"/>
      <c r="P9" s="35"/>
      <c r="Q9" s="23"/>
      <c r="R9" s="19"/>
      <c r="S9" s="35"/>
      <c r="T9" s="54"/>
      <c r="U9" s="55"/>
      <c r="V9" s="35"/>
      <c r="W9" s="54"/>
      <c r="X9" s="55"/>
      <c r="Y9" s="35"/>
      <c r="Z9" s="54"/>
      <c r="AA9" s="55"/>
      <c r="AB9" s="35"/>
      <c r="AC9" s="56"/>
      <c r="AD9" s="56"/>
      <c r="AE9" s="48"/>
      <c r="AF9" s="56"/>
      <c r="AG9" s="56"/>
      <c r="AH9" s="48"/>
      <c r="AI9" s="56"/>
      <c r="AJ9" s="56"/>
      <c r="AK9" s="48"/>
      <c r="AL9" s="56"/>
      <c r="AM9" s="56"/>
      <c r="AN9" s="48"/>
      <c r="AO9" s="56"/>
      <c r="AP9" s="56"/>
      <c r="AQ9" s="48"/>
      <c r="AR9" s="56"/>
      <c r="AS9" s="56"/>
      <c r="AT9" s="48"/>
      <c r="AU9" s="56"/>
      <c r="AV9" s="56"/>
      <c r="AW9" s="48"/>
      <c r="AX9" s="56"/>
      <c r="AY9" s="56"/>
      <c r="AZ9" s="48"/>
      <c r="BA9" s="56"/>
      <c r="BB9" s="56"/>
      <c r="BC9" s="48"/>
      <c r="BD9" s="56"/>
      <c r="BE9" s="56"/>
      <c r="BF9" s="48"/>
      <c r="BG9" s="56"/>
      <c r="BH9" s="56"/>
      <c r="BI9" s="48"/>
      <c r="BJ9" s="56"/>
      <c r="BK9" s="56"/>
      <c r="BL9" s="48"/>
      <c r="BM9" s="56"/>
      <c r="BN9" s="56"/>
      <c r="BO9" s="48"/>
      <c r="BP9" s="10"/>
      <c r="BQ9" s="10"/>
      <c r="BR9" s="48"/>
      <c r="BS9" s="56"/>
      <c r="BT9" s="56"/>
      <c r="BU9" s="48"/>
      <c r="BV9" s="56"/>
      <c r="BW9" s="56"/>
      <c r="BX9" s="48"/>
      <c r="BY9" s="56"/>
      <c r="BZ9" s="56"/>
      <c r="CA9" s="48"/>
      <c r="CB9" s="56"/>
      <c r="CC9" s="56"/>
      <c r="CD9" s="48"/>
      <c r="CE9" s="56"/>
      <c r="CF9" s="56"/>
      <c r="CG9" s="48"/>
      <c r="CH9" s="56"/>
      <c r="CI9" s="56"/>
      <c r="CJ9" s="48"/>
      <c r="CK9" s="56"/>
      <c r="CL9" s="56"/>
      <c r="CM9" s="48"/>
      <c r="CN9" s="56"/>
      <c r="CO9" s="56"/>
      <c r="CP9" s="48"/>
      <c r="CQ9" s="56"/>
      <c r="CR9" s="56"/>
      <c r="CS9" s="48"/>
      <c r="CT9" s="56"/>
      <c r="CU9" s="56"/>
      <c r="CV9" s="48"/>
      <c r="CW9" s="56"/>
      <c r="CX9" s="56"/>
      <c r="CY9" s="48"/>
      <c r="CZ9" s="56"/>
      <c r="DA9" s="56"/>
      <c r="DB9" s="48"/>
      <c r="DC9" s="56"/>
      <c r="DD9" s="56"/>
      <c r="DE9" s="48"/>
      <c r="DF9" s="56"/>
      <c r="DG9" s="56"/>
      <c r="DH9" s="48"/>
      <c r="DI9" s="10"/>
      <c r="DJ9" s="10"/>
      <c r="DK9" s="48"/>
    </row>
    <row r="10" spans="1:217" x14ac:dyDescent="0.2">
      <c r="A10" s="6" t="s">
        <v>66</v>
      </c>
      <c r="B10" s="5">
        <v>161</v>
      </c>
      <c r="C10" s="58" t="s">
        <v>166</v>
      </c>
      <c r="D10" s="5">
        <v>0</v>
      </c>
      <c r="E10" s="5">
        <v>11.5</v>
      </c>
      <c r="F10" s="5">
        <v>13.88000000000001</v>
      </c>
      <c r="G10" s="53">
        <v>4.4444444444444446E-2</v>
      </c>
      <c r="H10" s="23">
        <v>41737.627314814818</v>
      </c>
      <c r="I10" s="19">
        <v>41738.995370370372</v>
      </c>
      <c r="J10" s="35" t="s">
        <v>168</v>
      </c>
      <c r="K10" s="23"/>
      <c r="L10" s="19"/>
      <c r="M10" s="35"/>
      <c r="N10" s="23"/>
      <c r="O10" s="19"/>
      <c r="P10" s="35"/>
      <c r="Q10" s="23"/>
      <c r="R10" s="19"/>
      <c r="S10" s="35"/>
      <c r="T10" s="54"/>
      <c r="U10" s="55"/>
      <c r="V10" s="35"/>
      <c r="W10" s="54"/>
      <c r="X10" s="55"/>
      <c r="Y10" s="35"/>
      <c r="Z10" s="54"/>
      <c r="AA10" s="55"/>
      <c r="AB10" s="35"/>
      <c r="AC10" s="56"/>
      <c r="AD10" s="56"/>
      <c r="AE10" s="48"/>
      <c r="AF10" s="56"/>
      <c r="AG10" s="56"/>
      <c r="AH10" s="48"/>
      <c r="AI10" s="56"/>
      <c r="AJ10" s="56"/>
      <c r="AK10" s="48"/>
      <c r="AL10" s="56"/>
      <c r="AM10" s="56"/>
      <c r="AN10" s="48"/>
      <c r="AO10" s="56"/>
      <c r="AP10" s="56"/>
      <c r="AQ10" s="48"/>
      <c r="AR10" s="56"/>
      <c r="AS10" s="56"/>
      <c r="AT10" s="48"/>
      <c r="AU10" s="56"/>
      <c r="AV10" s="56"/>
      <c r="AW10" s="48"/>
      <c r="AX10" s="56"/>
      <c r="AY10" s="56"/>
      <c r="AZ10" s="48"/>
      <c r="BA10" s="56"/>
      <c r="BB10" s="56"/>
      <c r="BC10" s="48"/>
      <c r="BD10" s="56"/>
      <c r="BE10" s="56"/>
      <c r="BF10" s="48"/>
      <c r="BG10" s="56"/>
      <c r="BH10" s="56"/>
      <c r="BI10" s="48"/>
      <c r="BJ10" s="56"/>
      <c r="BK10" s="56"/>
      <c r="BL10" s="48"/>
      <c r="BM10" s="56"/>
      <c r="BN10" s="56"/>
      <c r="BO10" s="48"/>
      <c r="BP10" s="56"/>
      <c r="BQ10" s="56"/>
      <c r="BR10" s="48"/>
      <c r="BS10" s="56"/>
      <c r="BT10" s="56"/>
      <c r="BU10" s="48"/>
      <c r="BV10" s="56"/>
      <c r="BW10" s="56"/>
      <c r="BX10" s="48"/>
      <c r="BY10" s="56"/>
      <c r="BZ10" s="56"/>
      <c r="CA10" s="48"/>
      <c r="CB10" s="56"/>
      <c r="CC10" s="56"/>
      <c r="CD10" s="48"/>
      <c r="CE10" s="56"/>
      <c r="CF10" s="56"/>
      <c r="CG10" s="48"/>
      <c r="CH10" s="56"/>
      <c r="CI10" s="56"/>
      <c r="CJ10" s="48"/>
      <c r="CK10" s="56"/>
      <c r="CL10" s="56"/>
      <c r="CM10" s="48"/>
      <c r="CN10" s="10"/>
      <c r="CO10" s="10"/>
      <c r="CP10" s="48"/>
      <c r="CQ10" s="56"/>
      <c r="CR10" s="56"/>
      <c r="CS10" s="48"/>
      <c r="CT10" s="56"/>
      <c r="CU10" s="56"/>
      <c r="CV10" s="48"/>
      <c r="CW10" s="56"/>
      <c r="CX10" s="56"/>
      <c r="CY10" s="48"/>
      <c r="CZ10" s="56"/>
      <c r="DA10" s="56"/>
      <c r="DB10" s="48"/>
      <c r="DC10" s="56"/>
      <c r="DD10" s="56"/>
      <c r="DE10" s="48"/>
      <c r="DF10" s="56"/>
      <c r="DG10" s="56"/>
      <c r="DH10" s="48"/>
      <c r="DI10" s="56"/>
      <c r="DJ10" s="56"/>
      <c r="DK10" s="48"/>
      <c r="DL10" s="56"/>
      <c r="DM10" s="56"/>
      <c r="DN10" s="48"/>
      <c r="DO10" s="56"/>
      <c r="DP10" s="56"/>
      <c r="DQ10" s="48"/>
      <c r="DR10" s="56"/>
      <c r="DS10" s="56"/>
      <c r="DT10" s="48"/>
      <c r="DU10" s="56"/>
      <c r="DV10" s="56"/>
      <c r="DW10" s="48"/>
      <c r="DX10" s="56"/>
      <c r="DY10" s="56"/>
      <c r="DZ10" s="48"/>
      <c r="EA10" s="56"/>
      <c r="EB10" s="56"/>
      <c r="EC10" s="48"/>
      <c r="ED10" s="56"/>
      <c r="EE10" s="56"/>
      <c r="EF10" s="48"/>
      <c r="EG10" s="56"/>
      <c r="EH10" s="56"/>
      <c r="EI10" s="48"/>
      <c r="EJ10" s="56"/>
      <c r="EK10" s="56"/>
      <c r="EL10" s="48"/>
      <c r="EM10" s="56"/>
      <c r="EN10" s="56"/>
      <c r="EO10" s="48"/>
      <c r="EP10" s="56"/>
      <c r="EQ10" s="56"/>
      <c r="ER10" s="48"/>
      <c r="ES10" s="56"/>
      <c r="ET10" s="56"/>
      <c r="EU10" s="48"/>
      <c r="EV10" s="56"/>
      <c r="EW10" s="56"/>
      <c r="EX10" s="48"/>
      <c r="EY10" s="56"/>
      <c r="EZ10" s="56"/>
      <c r="FA10" s="48"/>
      <c r="FB10" s="56"/>
      <c r="FC10" s="56"/>
      <c r="FD10" s="48"/>
      <c r="FE10" s="56"/>
      <c r="FF10" s="56"/>
      <c r="FG10" s="48"/>
      <c r="FH10" s="56"/>
      <c r="FI10" s="56"/>
      <c r="FJ10" s="48"/>
      <c r="FK10" s="10"/>
      <c r="FL10" s="10"/>
      <c r="FM10" s="48"/>
    </row>
    <row r="11" spans="1:217" x14ac:dyDescent="0.2">
      <c r="A11" s="6" t="s">
        <v>65</v>
      </c>
      <c r="B11" s="5">
        <v>156</v>
      </c>
      <c r="C11" s="58" t="s">
        <v>166</v>
      </c>
      <c r="D11" s="5">
        <v>0</v>
      </c>
      <c r="E11" s="5">
        <v>16.5</v>
      </c>
      <c r="F11" s="5">
        <v>17.490000000000009</v>
      </c>
      <c r="G11" s="53">
        <v>5.5555555555555552E-2</v>
      </c>
      <c r="H11" s="23">
        <v>41737.687939814816</v>
      </c>
      <c r="I11" s="19">
        <v>41738.103680555556</v>
      </c>
      <c r="J11" s="35" t="s">
        <v>169</v>
      </c>
      <c r="K11" s="23">
        <v>41738.229895833334</v>
      </c>
      <c r="L11" s="19">
        <v>41738.650902777779</v>
      </c>
      <c r="M11" s="35" t="s">
        <v>170</v>
      </c>
      <c r="N11" s="23">
        <v>41738.734236111108</v>
      </c>
      <c r="O11" s="19">
        <v>41738.998124999998</v>
      </c>
      <c r="P11" s="35" t="s">
        <v>171</v>
      </c>
      <c r="Q11" s="23"/>
      <c r="R11" s="19"/>
      <c r="S11" s="35"/>
      <c r="T11" s="54"/>
      <c r="U11" s="55"/>
      <c r="V11" s="35"/>
      <c r="W11" s="54"/>
      <c r="X11" s="55"/>
      <c r="Y11" s="35"/>
      <c r="Z11" s="54"/>
      <c r="AA11" s="55"/>
      <c r="AB11" s="35"/>
      <c r="AC11" s="56"/>
      <c r="AD11" s="56"/>
      <c r="AE11" s="48"/>
      <c r="AF11" s="56"/>
      <c r="AG11" s="56"/>
      <c r="AH11" s="48"/>
      <c r="AI11" s="56"/>
      <c r="AJ11" s="56"/>
      <c r="AK11" s="48"/>
      <c r="AL11" s="56"/>
      <c r="AM11" s="56"/>
      <c r="AN11" s="48"/>
      <c r="AO11" s="56"/>
      <c r="AP11" s="56"/>
      <c r="AQ11" s="48"/>
      <c r="AR11" s="56"/>
      <c r="AS11" s="56"/>
      <c r="AT11" s="48"/>
      <c r="AU11" s="56"/>
      <c r="AV11" s="56"/>
      <c r="AW11" s="48"/>
      <c r="AX11" s="56"/>
      <c r="AY11" s="56"/>
      <c r="AZ11" s="48"/>
      <c r="BA11" s="56"/>
      <c r="BB11" s="56"/>
      <c r="BC11" s="48"/>
      <c r="BD11" s="56"/>
      <c r="BE11" s="56"/>
      <c r="BF11" s="48"/>
      <c r="BG11" s="56"/>
      <c r="BH11" s="56"/>
      <c r="BI11" s="48"/>
      <c r="BJ11" s="56"/>
      <c r="BK11" s="56"/>
      <c r="BL11" s="48"/>
      <c r="BM11" s="56"/>
      <c r="BN11" s="56"/>
      <c r="BO11" s="48"/>
      <c r="BP11" s="56"/>
      <c r="BQ11" s="56"/>
      <c r="BR11" s="48"/>
      <c r="BS11" s="56"/>
      <c r="BT11" s="56"/>
      <c r="BU11" s="48"/>
      <c r="BV11" s="56"/>
      <c r="BW11" s="56"/>
      <c r="BX11" s="48"/>
      <c r="BY11" s="56"/>
      <c r="BZ11" s="56"/>
      <c r="CA11" s="48"/>
      <c r="CB11" s="56"/>
      <c r="CC11" s="56"/>
      <c r="CD11" s="48"/>
      <c r="CE11" s="56"/>
      <c r="CF11" s="56"/>
      <c r="CG11" s="48"/>
      <c r="CH11" s="56"/>
      <c r="CI11" s="56"/>
      <c r="CJ11" s="48"/>
      <c r="CK11" s="56"/>
      <c r="CL11" s="56"/>
      <c r="CM11" s="48"/>
      <c r="CN11" s="56"/>
      <c r="CO11" s="56"/>
      <c r="CP11" s="48"/>
      <c r="CQ11" s="56"/>
      <c r="CR11" s="56"/>
      <c r="CS11" s="48"/>
      <c r="CT11" s="10"/>
      <c r="CU11" s="10"/>
      <c r="CV11" s="48"/>
      <c r="CW11" s="56"/>
      <c r="CX11" s="56"/>
      <c r="CY11" s="48"/>
      <c r="CZ11" s="56"/>
      <c r="DA11" s="56"/>
      <c r="DB11" s="48"/>
      <c r="DC11" s="56"/>
      <c r="DD11" s="56"/>
      <c r="DE11" s="48"/>
      <c r="DF11" s="56"/>
      <c r="DG11" s="56"/>
      <c r="DH11" s="48"/>
      <c r="DI11" s="56"/>
      <c r="DJ11" s="56"/>
      <c r="DK11" s="48"/>
      <c r="DL11" s="56"/>
      <c r="DM11" s="56"/>
      <c r="DN11" s="48"/>
      <c r="DO11" s="56"/>
      <c r="DP11" s="56"/>
      <c r="DQ11" s="48"/>
      <c r="DR11" s="56"/>
      <c r="DS11" s="56"/>
      <c r="DT11" s="48"/>
      <c r="DU11" s="56"/>
      <c r="DV11" s="56"/>
      <c r="DW11" s="48"/>
      <c r="DX11" s="56"/>
      <c r="DY11" s="56"/>
      <c r="DZ11" s="48"/>
      <c r="EA11" s="56"/>
      <c r="EB11" s="56"/>
      <c r="EC11" s="48"/>
      <c r="ED11" s="56"/>
      <c r="EE11" s="56"/>
      <c r="EF11" s="48"/>
      <c r="EG11" s="56"/>
      <c r="EH11" s="56"/>
      <c r="EI11" s="48"/>
      <c r="EJ11" s="56"/>
      <c r="EK11" s="56"/>
      <c r="EL11" s="48"/>
      <c r="EM11" s="56"/>
      <c r="EN11" s="56"/>
      <c r="EO11" s="48"/>
      <c r="EP11" s="56"/>
      <c r="EQ11" s="56"/>
      <c r="ER11" s="48"/>
      <c r="ES11" s="56"/>
      <c r="ET11" s="56"/>
      <c r="EU11" s="48"/>
      <c r="EV11" s="56"/>
      <c r="EW11" s="56"/>
      <c r="EX11" s="48"/>
      <c r="EY11" s="56"/>
      <c r="EZ11" s="56"/>
      <c r="FA11" s="48"/>
      <c r="FB11" s="56"/>
      <c r="FC11" s="56"/>
      <c r="FD11" s="48"/>
      <c r="FE11" s="56"/>
      <c r="FF11" s="56"/>
      <c r="FG11" s="48"/>
      <c r="FH11" s="56"/>
      <c r="FI11" s="56"/>
      <c r="FJ11" s="48"/>
      <c r="FK11" s="56"/>
      <c r="FL11" s="56"/>
      <c r="FM11" s="48"/>
      <c r="FN11" s="56"/>
      <c r="FO11" s="56"/>
      <c r="FP11" s="48"/>
      <c r="FQ11" s="56"/>
      <c r="FR11" s="56"/>
      <c r="FS11" s="48"/>
      <c r="FT11" s="56"/>
      <c r="FU11" s="56"/>
      <c r="FV11" s="48"/>
      <c r="FW11" s="56"/>
      <c r="FX11" s="56"/>
      <c r="FY11" s="48"/>
    </row>
    <row r="12" spans="1:217" x14ac:dyDescent="0.2">
      <c r="A12" s="6" t="s">
        <v>64</v>
      </c>
      <c r="B12" s="5">
        <v>156</v>
      </c>
      <c r="C12" s="58" t="s">
        <v>166</v>
      </c>
      <c r="D12" s="5">
        <v>0</v>
      </c>
      <c r="E12" s="5">
        <v>16.5</v>
      </c>
      <c r="F12" s="5">
        <v>18.270000000000003</v>
      </c>
      <c r="G12" s="53">
        <v>5.8333333333333327E-2</v>
      </c>
      <c r="H12" s="23">
        <v>41737.689814814818</v>
      </c>
      <c r="I12" s="19">
        <v>41738.105555555558</v>
      </c>
      <c r="J12" s="35" t="s">
        <v>169</v>
      </c>
      <c r="K12" s="23">
        <v>41738.231770833336</v>
      </c>
      <c r="L12" s="19">
        <v>41738.652777777781</v>
      </c>
      <c r="M12" s="35" t="s">
        <v>170</v>
      </c>
      <c r="N12" s="23">
        <v>41738.736111111109</v>
      </c>
      <c r="O12" s="19">
        <v>41739</v>
      </c>
      <c r="P12" s="35" t="s">
        <v>171</v>
      </c>
      <c r="Q12" s="23"/>
      <c r="R12" s="19"/>
      <c r="S12" s="35"/>
      <c r="T12" s="54"/>
      <c r="U12" s="55"/>
      <c r="V12" s="35"/>
      <c r="W12" s="54"/>
      <c r="X12" s="55"/>
      <c r="Y12" s="35"/>
      <c r="Z12" s="54"/>
      <c r="AA12" s="55"/>
      <c r="AB12" s="35"/>
      <c r="AC12" s="56"/>
      <c r="AD12" s="56"/>
      <c r="AE12" s="48"/>
      <c r="AF12" s="56"/>
      <c r="AG12" s="56"/>
      <c r="AH12" s="48"/>
      <c r="AI12" s="56"/>
      <c r="AJ12" s="56"/>
      <c r="AK12" s="48"/>
      <c r="AL12" s="56"/>
      <c r="AM12" s="56"/>
      <c r="AN12" s="48"/>
      <c r="AO12" s="56"/>
      <c r="AP12" s="56"/>
      <c r="AQ12" s="48"/>
      <c r="AR12" s="56"/>
      <c r="AS12" s="56"/>
      <c r="AT12" s="48"/>
      <c r="AU12" s="56"/>
      <c r="AV12" s="56"/>
      <c r="AW12" s="48"/>
      <c r="AX12" s="56"/>
      <c r="AY12" s="56"/>
      <c r="AZ12" s="48"/>
      <c r="BA12" s="56"/>
      <c r="BB12" s="56"/>
      <c r="BC12" s="48"/>
      <c r="BD12" s="56"/>
      <c r="BE12" s="56"/>
      <c r="BF12" s="48"/>
      <c r="BG12" s="56"/>
      <c r="BH12" s="56"/>
      <c r="BI12" s="48"/>
      <c r="BJ12" s="56"/>
      <c r="BK12" s="56"/>
      <c r="BL12" s="48"/>
      <c r="BM12" s="56"/>
      <c r="BN12" s="56"/>
      <c r="BO12" s="48"/>
      <c r="BP12" s="56"/>
      <c r="BQ12" s="56"/>
      <c r="BR12" s="48"/>
      <c r="BS12" s="56"/>
      <c r="BT12" s="56"/>
      <c r="BU12" s="48"/>
      <c r="BV12" s="56"/>
      <c r="BW12" s="56"/>
      <c r="BX12" s="48"/>
      <c r="BY12" s="56"/>
      <c r="BZ12" s="56"/>
      <c r="CA12" s="48"/>
      <c r="CB12" s="56"/>
      <c r="CC12" s="56"/>
      <c r="CD12" s="48"/>
      <c r="CE12" s="56"/>
      <c r="CF12" s="56"/>
      <c r="CG12" s="48"/>
      <c r="CH12" s="56"/>
      <c r="CI12" s="56"/>
      <c r="CJ12" s="48"/>
      <c r="CK12" s="56"/>
      <c r="CL12" s="56"/>
      <c r="CM12" s="48"/>
      <c r="CN12" s="56"/>
      <c r="CO12" s="56"/>
      <c r="CP12" s="48"/>
      <c r="CQ12" s="56"/>
      <c r="CR12" s="56"/>
      <c r="CS12" s="48"/>
      <c r="CT12" s="56"/>
      <c r="CU12" s="56"/>
      <c r="CV12" s="48"/>
      <c r="CW12" s="56"/>
      <c r="CX12" s="56"/>
      <c r="CY12" s="48"/>
      <c r="CZ12" s="56"/>
      <c r="DA12" s="56"/>
      <c r="DB12" s="48"/>
      <c r="DC12" s="56"/>
      <c r="DD12" s="56"/>
      <c r="DE12" s="48"/>
      <c r="DF12" s="56"/>
      <c r="DG12" s="56"/>
      <c r="DH12" s="48"/>
      <c r="DI12" s="56"/>
      <c r="DJ12" s="56"/>
      <c r="DK12" s="48"/>
      <c r="DL12" s="10"/>
      <c r="DM12" s="10"/>
      <c r="DN12" s="48"/>
      <c r="DO12" s="56"/>
      <c r="DP12" s="56"/>
      <c r="DQ12" s="48"/>
      <c r="DR12" s="56"/>
      <c r="DS12" s="56"/>
      <c r="DT12" s="48"/>
      <c r="DU12" s="56"/>
      <c r="DV12" s="56"/>
      <c r="DW12" s="48"/>
      <c r="DX12" s="56"/>
      <c r="DY12" s="56"/>
      <c r="DZ12" s="48"/>
      <c r="EA12" s="56"/>
      <c r="EB12" s="56"/>
      <c r="EC12" s="48"/>
      <c r="ED12" s="56"/>
      <c r="EE12" s="56"/>
      <c r="EF12" s="48"/>
      <c r="EG12" s="56"/>
      <c r="EH12" s="56"/>
      <c r="EI12" s="48"/>
      <c r="EJ12" s="56"/>
      <c r="EK12" s="56"/>
      <c r="EL12" s="48"/>
      <c r="EM12" s="56"/>
      <c r="EN12" s="56"/>
      <c r="EO12" s="48"/>
      <c r="EP12" s="56"/>
      <c r="EQ12" s="56"/>
      <c r="ER12" s="48"/>
      <c r="ES12" s="56"/>
      <c r="ET12" s="56"/>
      <c r="EU12" s="48"/>
      <c r="EV12" s="56"/>
      <c r="EW12" s="56"/>
      <c r="EX12" s="48"/>
      <c r="EY12" s="56"/>
      <c r="EZ12" s="56"/>
      <c r="FA12" s="48"/>
      <c r="FB12" s="56"/>
      <c r="FC12" s="56"/>
      <c r="FD12" s="48"/>
      <c r="FE12" s="56"/>
      <c r="FF12" s="56"/>
      <c r="FG12" s="48"/>
      <c r="FH12" s="56"/>
      <c r="FI12" s="56"/>
      <c r="FJ12" s="48"/>
      <c r="FK12" s="56"/>
      <c r="FL12" s="56"/>
      <c r="FM12" s="48"/>
      <c r="FN12" s="56"/>
      <c r="FO12" s="56"/>
      <c r="FP12" s="48"/>
      <c r="FQ12" s="56"/>
      <c r="FR12" s="56"/>
      <c r="FS12" s="48"/>
      <c r="FT12" s="56"/>
      <c r="FU12" s="56"/>
      <c r="FV12" s="48"/>
      <c r="FW12" s="56"/>
      <c r="FX12" s="56"/>
      <c r="FY12" s="48"/>
      <c r="FZ12" s="56"/>
      <c r="GA12" s="56"/>
      <c r="GB12" s="48"/>
      <c r="GC12" s="56"/>
      <c r="GD12" s="56"/>
      <c r="GE12" s="48"/>
      <c r="GF12" s="56"/>
      <c r="GG12" s="56"/>
      <c r="GH12" s="48"/>
      <c r="GI12" s="56"/>
      <c r="GJ12" s="56"/>
      <c r="GK12" s="48"/>
      <c r="GL12" s="56"/>
      <c r="GM12" s="56"/>
      <c r="GN12" s="48"/>
      <c r="GO12" s="56"/>
      <c r="GP12" s="56"/>
      <c r="GQ12" s="48"/>
      <c r="GR12" s="56"/>
      <c r="GS12" s="56"/>
      <c r="GT12" s="48"/>
    </row>
    <row r="13" spans="1:217" x14ac:dyDescent="0.2">
      <c r="A13" s="6" t="s">
        <v>94</v>
      </c>
      <c r="B13" s="5">
        <v>156</v>
      </c>
      <c r="C13" s="58" t="s">
        <v>166</v>
      </c>
      <c r="D13" s="5">
        <v>0</v>
      </c>
      <c r="E13" s="5">
        <v>16.5</v>
      </c>
      <c r="F13" s="5">
        <v>22.220000000000006</v>
      </c>
      <c r="G13" s="53">
        <v>7.0833333333333331E-2</v>
      </c>
      <c r="H13" s="23">
        <v>41737.696296296293</v>
      </c>
      <c r="I13" s="19">
        <v>41738.114583333336</v>
      </c>
      <c r="J13" s="35" t="s">
        <v>172</v>
      </c>
      <c r="K13" s="23">
        <v>41738.238541666666</v>
      </c>
      <c r="L13" s="19">
        <v>41738.661805555559</v>
      </c>
      <c r="M13" s="35" t="s">
        <v>173</v>
      </c>
      <c r="N13" s="23">
        <v>41738.742361111108</v>
      </c>
      <c r="O13" s="19">
        <v>41738.993750000001</v>
      </c>
      <c r="P13" s="35" t="s">
        <v>174</v>
      </c>
      <c r="Q13" s="23"/>
      <c r="R13" s="19"/>
      <c r="S13" s="35"/>
      <c r="T13" s="23"/>
      <c r="U13" s="19"/>
      <c r="V13" s="35"/>
      <c r="W13" s="23"/>
      <c r="X13" s="19"/>
      <c r="Y13" s="35"/>
      <c r="Z13" s="23"/>
      <c r="AA13" s="19"/>
      <c r="AB13" s="35"/>
      <c r="AC13" s="10"/>
      <c r="AD13" s="10"/>
      <c r="AE13" s="48"/>
      <c r="AF13" s="10"/>
      <c r="AG13" s="10"/>
      <c r="AH13" s="48"/>
      <c r="AI13" s="10"/>
      <c r="AJ13" s="10"/>
      <c r="AK13" s="48"/>
      <c r="AL13" s="10"/>
      <c r="AM13" s="10"/>
      <c r="AN13" s="48"/>
      <c r="AO13" s="10"/>
      <c r="AP13" s="10"/>
      <c r="AQ13" s="48"/>
      <c r="AR13" s="10"/>
      <c r="AS13" s="10"/>
      <c r="AT13" s="48"/>
    </row>
    <row r="14" spans="1:217" x14ac:dyDescent="0.2">
      <c r="A14" s="6" t="s">
        <v>63</v>
      </c>
      <c r="B14" s="5">
        <v>153</v>
      </c>
      <c r="C14" s="58" t="s">
        <v>166</v>
      </c>
      <c r="D14" s="5">
        <v>0</v>
      </c>
      <c r="E14" s="5">
        <v>19.5</v>
      </c>
      <c r="F14" s="5">
        <v>23.410000000000004</v>
      </c>
      <c r="G14" s="53">
        <v>7.4999999999999997E-2</v>
      </c>
      <c r="H14" s="23">
        <v>41737.726886574077</v>
      </c>
      <c r="I14" s="19">
        <v>41738.074305555558</v>
      </c>
      <c r="J14" s="35" t="s">
        <v>175</v>
      </c>
      <c r="K14" s="23">
        <v>41738.263043981482</v>
      </c>
      <c r="L14" s="19">
        <v>41738.622916666667</v>
      </c>
      <c r="M14" s="35" t="s">
        <v>176</v>
      </c>
      <c r="N14" s="23">
        <v>41738.776493055557</v>
      </c>
      <c r="O14" s="19">
        <v>41738.993750000001</v>
      </c>
      <c r="P14" s="35" t="s">
        <v>177</v>
      </c>
      <c r="Q14" s="23"/>
      <c r="R14" s="19"/>
      <c r="S14" s="35"/>
      <c r="T14" s="54"/>
      <c r="U14" s="55"/>
      <c r="V14" s="35"/>
      <c r="W14" s="54"/>
      <c r="X14" s="55"/>
      <c r="Y14" s="35"/>
      <c r="Z14" s="54"/>
      <c r="AA14" s="55"/>
      <c r="AB14" s="35"/>
      <c r="AC14" s="56"/>
      <c r="AD14" s="56"/>
      <c r="AE14" s="48"/>
      <c r="AF14" s="56"/>
      <c r="AG14" s="56"/>
      <c r="AH14" s="48"/>
      <c r="AI14" s="56"/>
      <c r="AJ14" s="56"/>
      <c r="AK14" s="48"/>
      <c r="AL14" s="56"/>
      <c r="AM14" s="56"/>
      <c r="AN14" s="48"/>
      <c r="AO14" s="56"/>
      <c r="AP14" s="56"/>
      <c r="AQ14" s="48"/>
      <c r="AR14" s="56"/>
      <c r="AS14" s="56"/>
      <c r="AT14" s="48"/>
      <c r="AU14" s="56"/>
      <c r="AV14" s="56"/>
      <c r="AW14" s="48"/>
      <c r="AX14" s="56"/>
      <c r="AY14" s="56"/>
      <c r="AZ14" s="48"/>
      <c r="BA14" s="56"/>
      <c r="BB14" s="56"/>
      <c r="BC14" s="48"/>
      <c r="BD14" s="56"/>
      <c r="BE14" s="56"/>
      <c r="BF14" s="48"/>
      <c r="BG14" s="56"/>
      <c r="BH14" s="56"/>
      <c r="BI14" s="48"/>
      <c r="BJ14" s="56"/>
      <c r="BK14" s="56"/>
      <c r="BL14" s="48"/>
      <c r="BM14" s="56"/>
      <c r="BN14" s="56"/>
      <c r="BO14" s="48"/>
      <c r="BP14" s="56"/>
      <c r="BQ14" s="56"/>
      <c r="BR14" s="48"/>
      <c r="BS14" s="56"/>
      <c r="BT14" s="56"/>
      <c r="BU14" s="48"/>
      <c r="BV14" s="56"/>
      <c r="BW14" s="56"/>
      <c r="BX14" s="48"/>
      <c r="BY14" s="56"/>
      <c r="BZ14" s="56"/>
      <c r="CA14" s="48"/>
      <c r="CB14" s="56"/>
      <c r="CC14" s="56"/>
      <c r="CD14" s="48"/>
      <c r="CE14" s="56"/>
      <c r="CF14" s="56"/>
      <c r="CG14" s="48"/>
      <c r="CH14" s="56"/>
      <c r="CI14" s="56"/>
      <c r="CJ14" s="48"/>
      <c r="CK14" s="56"/>
      <c r="CL14" s="56"/>
      <c r="CM14" s="48"/>
      <c r="CN14" s="56"/>
      <c r="CO14" s="56"/>
      <c r="CP14" s="48"/>
      <c r="CQ14" s="56"/>
      <c r="CR14" s="56"/>
      <c r="CS14" s="48"/>
      <c r="CT14" s="56"/>
      <c r="CU14" s="56"/>
      <c r="CV14" s="48"/>
      <c r="CW14" s="56"/>
      <c r="CX14" s="56"/>
      <c r="CY14" s="48"/>
      <c r="CZ14" s="56"/>
      <c r="DA14" s="56"/>
      <c r="DB14" s="48"/>
      <c r="DC14" s="56"/>
      <c r="DD14" s="56"/>
      <c r="DE14" s="48"/>
      <c r="DF14" s="56"/>
      <c r="DG14" s="56"/>
      <c r="DH14" s="48"/>
      <c r="DI14" s="56"/>
      <c r="DJ14" s="56"/>
      <c r="DK14" s="48"/>
      <c r="DL14" s="56"/>
      <c r="DM14" s="56"/>
      <c r="DN14" s="48"/>
      <c r="DO14" s="56"/>
      <c r="DP14" s="56"/>
      <c r="DQ14" s="48"/>
      <c r="DR14" s="56"/>
      <c r="DS14" s="56"/>
      <c r="DT14" s="48"/>
      <c r="DU14" s="56"/>
      <c r="DV14" s="56"/>
      <c r="DW14" s="48"/>
      <c r="DX14" s="10"/>
      <c r="DY14" s="10"/>
      <c r="DZ14" s="48"/>
      <c r="EA14" s="56"/>
      <c r="EB14" s="56"/>
      <c r="EC14" s="48"/>
      <c r="ED14" s="56"/>
      <c r="EE14" s="56"/>
      <c r="EF14" s="48"/>
      <c r="EG14" s="56"/>
      <c r="EH14" s="56"/>
      <c r="EI14" s="48"/>
      <c r="EJ14" s="56"/>
      <c r="EK14" s="56"/>
      <c r="EL14" s="48"/>
      <c r="EM14" s="56"/>
      <c r="EN14" s="56"/>
      <c r="EO14" s="48"/>
      <c r="EP14" s="56"/>
      <c r="EQ14" s="56"/>
      <c r="ER14" s="48"/>
      <c r="ES14" s="56"/>
      <c r="ET14" s="56"/>
      <c r="EU14" s="48"/>
      <c r="EV14" s="56"/>
      <c r="EW14" s="56"/>
      <c r="EX14" s="48"/>
      <c r="EY14" s="56"/>
      <c r="EZ14" s="56"/>
      <c r="FA14" s="48"/>
      <c r="FB14" s="56"/>
      <c r="FC14" s="56"/>
      <c r="FD14" s="48"/>
      <c r="FE14" s="56"/>
      <c r="FF14" s="56"/>
      <c r="FG14" s="48"/>
      <c r="FH14" s="56"/>
      <c r="FI14" s="56"/>
      <c r="FJ14" s="48"/>
      <c r="FK14" s="56"/>
      <c r="FL14" s="56"/>
      <c r="FM14" s="48"/>
      <c r="FN14" s="56"/>
      <c r="FO14" s="56"/>
      <c r="FP14" s="48"/>
      <c r="FQ14" s="56"/>
      <c r="FR14" s="56"/>
      <c r="FS14" s="48"/>
      <c r="FT14" s="56"/>
      <c r="FU14" s="56"/>
      <c r="FV14" s="48"/>
      <c r="FW14" s="56"/>
      <c r="FX14" s="56"/>
      <c r="FY14" s="48"/>
      <c r="FZ14" s="56"/>
      <c r="GA14" s="56"/>
      <c r="GB14" s="48"/>
      <c r="GC14" s="56"/>
      <c r="GD14" s="56"/>
      <c r="GE14" s="48"/>
      <c r="GF14" s="56"/>
      <c r="GG14" s="56"/>
      <c r="GH14" s="48"/>
      <c r="GI14" s="56"/>
      <c r="GJ14" s="56"/>
      <c r="GK14" s="48"/>
      <c r="GL14" s="56"/>
      <c r="GM14" s="56"/>
      <c r="GN14" s="48"/>
      <c r="GO14" s="56"/>
      <c r="GP14" s="56"/>
      <c r="GQ14" s="48"/>
      <c r="GR14" s="56"/>
      <c r="GS14" s="56"/>
      <c r="GT14" s="48"/>
      <c r="GU14" s="56"/>
      <c r="GV14" s="56"/>
      <c r="GW14" s="48"/>
      <c r="GX14" s="56"/>
      <c r="GY14" s="56"/>
      <c r="GZ14" s="48"/>
      <c r="HA14" s="56"/>
      <c r="HB14" s="56"/>
      <c r="HC14" s="48"/>
      <c r="HD14" s="56"/>
      <c r="HE14" s="56"/>
      <c r="HF14" s="48"/>
      <c r="HG14" s="56"/>
      <c r="HH14" s="56"/>
      <c r="HI14" s="48"/>
    </row>
    <row r="15" spans="1:217" x14ac:dyDescent="0.2">
      <c r="A15" s="6" t="s">
        <v>95</v>
      </c>
      <c r="B15" s="5">
        <v>152</v>
      </c>
      <c r="C15" s="58" t="s">
        <v>166</v>
      </c>
      <c r="D15" s="5">
        <v>0</v>
      </c>
      <c r="E15" s="5">
        <v>20.5</v>
      </c>
      <c r="F15" s="5">
        <v>26.150000000000006</v>
      </c>
      <c r="G15" s="53">
        <v>8.3333333333333329E-2</v>
      </c>
      <c r="H15" s="23">
        <v>41737.736574074072</v>
      </c>
      <c r="I15" s="19">
        <v>41738.067013888889</v>
      </c>
      <c r="J15" s="35" t="s">
        <v>178</v>
      </c>
      <c r="K15" s="23">
        <v>41738.272222222222</v>
      </c>
      <c r="L15" s="19">
        <v>41738.61273148148</v>
      </c>
      <c r="M15" s="35" t="s">
        <v>179</v>
      </c>
      <c r="N15" s="23">
        <v>41738.788495370369</v>
      </c>
      <c r="O15" s="19">
        <v>41738.995833333334</v>
      </c>
      <c r="P15" s="35" t="s">
        <v>180</v>
      </c>
      <c r="Q15" s="23"/>
      <c r="R15" s="19"/>
      <c r="S15" s="35"/>
      <c r="T15" s="54"/>
      <c r="U15" s="55"/>
      <c r="V15" s="35"/>
      <c r="W15" s="54"/>
      <c r="X15" s="55"/>
      <c r="Y15" s="35"/>
      <c r="Z15" s="54"/>
      <c r="AA15" s="55"/>
      <c r="AB15" s="35"/>
      <c r="AC15" s="56"/>
      <c r="AD15" s="56"/>
      <c r="AE15" s="48"/>
      <c r="AF15" s="56"/>
      <c r="AG15" s="56"/>
      <c r="AH15" s="48"/>
      <c r="AI15" s="56"/>
      <c r="AJ15" s="56"/>
      <c r="AK15" s="48"/>
      <c r="AL15" s="56"/>
      <c r="AM15" s="56"/>
      <c r="AN15" s="48"/>
      <c r="AO15" s="56"/>
      <c r="AP15" s="56"/>
      <c r="AQ15" s="48"/>
      <c r="AR15" s="56"/>
      <c r="AS15" s="56"/>
      <c r="AT15" s="48"/>
      <c r="AU15" s="56"/>
      <c r="AV15" s="56"/>
      <c r="AW15" s="48"/>
      <c r="AX15" s="56"/>
      <c r="AY15" s="56"/>
      <c r="AZ15" s="48"/>
      <c r="BA15" s="56"/>
      <c r="BB15" s="56"/>
      <c r="BC15" s="48"/>
      <c r="BD15" s="56"/>
      <c r="BE15" s="56"/>
      <c r="BF15" s="48"/>
      <c r="BG15" s="56"/>
      <c r="BH15" s="56"/>
      <c r="BI15" s="48"/>
      <c r="BJ15" s="56"/>
      <c r="BK15" s="56"/>
      <c r="BL15" s="48"/>
      <c r="BM15" s="56"/>
      <c r="BN15" s="56"/>
      <c r="BO15" s="48"/>
      <c r="BP15" s="56"/>
      <c r="BQ15" s="56"/>
      <c r="BR15" s="48"/>
      <c r="BS15" s="56"/>
      <c r="BT15" s="56"/>
      <c r="BU15" s="48"/>
      <c r="BV15" s="56"/>
      <c r="BW15" s="56"/>
      <c r="BX15" s="48"/>
      <c r="BY15" s="56"/>
      <c r="BZ15" s="56"/>
      <c r="CA15" s="48"/>
      <c r="CB15" s="56"/>
      <c r="CC15" s="56"/>
      <c r="CD15" s="48"/>
      <c r="CE15" s="56"/>
      <c r="CF15" s="56"/>
      <c r="CG15" s="48"/>
      <c r="CH15" s="56"/>
      <c r="CI15" s="56"/>
      <c r="CJ15" s="48"/>
      <c r="CK15" s="56"/>
      <c r="CL15" s="56"/>
      <c r="CM15" s="48"/>
      <c r="CN15" s="56"/>
      <c r="CO15" s="56"/>
      <c r="CP15" s="48"/>
      <c r="CQ15" s="56"/>
      <c r="CR15" s="56"/>
      <c r="CS15" s="48"/>
      <c r="CT15" s="56"/>
      <c r="CU15" s="56"/>
      <c r="CV15" s="48"/>
      <c r="CW15" s="56"/>
      <c r="CX15" s="56"/>
      <c r="CY15" s="48"/>
      <c r="CZ15" s="56"/>
      <c r="DA15" s="56"/>
      <c r="DB15" s="48"/>
      <c r="DC15" s="56"/>
      <c r="DD15" s="56"/>
      <c r="DE15" s="48"/>
      <c r="DF15" s="56"/>
      <c r="DG15" s="56"/>
      <c r="DH15" s="48"/>
      <c r="DI15" s="56"/>
      <c r="DJ15" s="56"/>
      <c r="DK15" s="48"/>
      <c r="DL15" s="56"/>
      <c r="DM15" s="56"/>
      <c r="DN15" s="48"/>
      <c r="DO15" s="56"/>
      <c r="DP15" s="56"/>
      <c r="DQ15" s="48"/>
      <c r="DR15" s="10"/>
      <c r="DS15" s="10"/>
      <c r="DT15" s="48"/>
      <c r="DU15" s="56"/>
      <c r="DV15" s="56"/>
      <c r="DW15" s="48"/>
      <c r="DX15" s="56"/>
      <c r="DY15" s="56"/>
      <c r="DZ15" s="48"/>
      <c r="EA15" s="56"/>
      <c r="EB15" s="56"/>
      <c r="EC15" s="48"/>
      <c r="ED15" s="56"/>
      <c r="EE15" s="56"/>
      <c r="EF15" s="48"/>
      <c r="EG15" s="56"/>
      <c r="EH15" s="56"/>
      <c r="EI15" s="48"/>
      <c r="EJ15" s="56"/>
      <c r="EK15" s="56"/>
      <c r="EL15" s="48"/>
      <c r="EM15" s="56"/>
      <c r="EN15" s="56"/>
      <c r="EO15" s="48"/>
      <c r="EP15" s="56"/>
      <c r="EQ15" s="56"/>
      <c r="ER15" s="48"/>
      <c r="ES15" s="56"/>
      <c r="ET15" s="56"/>
      <c r="EU15" s="48"/>
      <c r="EV15" s="56"/>
      <c r="EW15" s="56"/>
      <c r="EX15" s="48"/>
      <c r="EY15" s="56"/>
      <c r="EZ15" s="56"/>
      <c r="FA15" s="48"/>
      <c r="FB15" s="56"/>
      <c r="FC15" s="56"/>
      <c r="FD15" s="48"/>
      <c r="FE15" s="56"/>
      <c r="FF15" s="56"/>
      <c r="FG15" s="48"/>
      <c r="FH15" s="56"/>
      <c r="FI15" s="56"/>
      <c r="FJ15" s="48"/>
      <c r="FK15" s="56"/>
      <c r="FL15" s="56"/>
      <c r="FM15" s="48"/>
      <c r="FN15" s="56"/>
      <c r="FO15" s="56"/>
      <c r="FP15" s="48"/>
      <c r="FQ15" s="56"/>
      <c r="FR15" s="56"/>
      <c r="FS15" s="48"/>
      <c r="FT15" s="56"/>
      <c r="FU15" s="56"/>
      <c r="FV15" s="48"/>
      <c r="FW15" s="56"/>
      <c r="FX15" s="56"/>
      <c r="FY15" s="48"/>
      <c r="FZ15" s="56"/>
      <c r="GA15" s="56"/>
      <c r="GB15" s="48"/>
      <c r="GC15" s="56"/>
      <c r="GD15" s="56"/>
      <c r="GE15" s="48"/>
      <c r="GF15" s="56"/>
      <c r="GG15" s="56"/>
      <c r="GH15" s="48"/>
      <c r="GI15" s="56"/>
      <c r="GJ15" s="56"/>
      <c r="GK15" s="48"/>
      <c r="GL15" s="56"/>
      <c r="GM15" s="56"/>
      <c r="GN15" s="48"/>
      <c r="GO15" s="56"/>
      <c r="GP15" s="56"/>
      <c r="GQ15" s="48"/>
      <c r="GR15" s="56"/>
      <c r="GS15" s="56"/>
      <c r="GT15" s="48"/>
      <c r="GU15" s="56"/>
      <c r="GV15" s="56"/>
      <c r="GW15" s="48"/>
      <c r="GX15" s="56"/>
      <c r="GY15" s="56"/>
      <c r="GZ15" s="48"/>
    </row>
    <row r="16" spans="1:217" x14ac:dyDescent="0.2">
      <c r="A16" s="6" t="s">
        <v>96</v>
      </c>
      <c r="B16" s="5">
        <v>147</v>
      </c>
      <c r="C16" s="58" t="s">
        <v>166</v>
      </c>
      <c r="D16" s="5">
        <v>0</v>
      </c>
      <c r="E16" s="5">
        <v>25.5</v>
      </c>
      <c r="F16" s="5">
        <v>27.740000000000009</v>
      </c>
      <c r="G16" s="53">
        <v>8.8888888888888892E-2</v>
      </c>
      <c r="H16" s="23">
        <v>41737.775925925926</v>
      </c>
      <c r="I16" s="19">
        <v>41738.024386574078</v>
      </c>
      <c r="J16" s="35" t="s">
        <v>181</v>
      </c>
      <c r="K16" s="23">
        <v>41738.308333333334</v>
      </c>
      <c r="L16" s="19">
        <v>41738.563738425924</v>
      </c>
      <c r="M16" s="35" t="s">
        <v>182</v>
      </c>
      <c r="N16" s="23">
        <v>41738.835115740738</v>
      </c>
      <c r="O16" s="19">
        <v>41738.995833333334</v>
      </c>
      <c r="P16" s="35" t="s">
        <v>183</v>
      </c>
      <c r="Q16" s="23"/>
      <c r="R16" s="19"/>
      <c r="S16" s="35"/>
      <c r="T16" s="54"/>
      <c r="U16" s="55"/>
      <c r="V16" s="35"/>
      <c r="W16" s="54"/>
      <c r="X16" s="55"/>
      <c r="Y16" s="35"/>
      <c r="Z16" s="54"/>
      <c r="AA16" s="55"/>
      <c r="AB16" s="35"/>
      <c r="AC16" s="56"/>
      <c r="AD16" s="56"/>
      <c r="AE16" s="48"/>
      <c r="AF16" s="56"/>
      <c r="AG16" s="56"/>
      <c r="AH16" s="48"/>
      <c r="AI16" s="56"/>
      <c r="AJ16" s="56"/>
      <c r="AK16" s="48"/>
      <c r="AL16" s="56"/>
      <c r="AM16" s="56"/>
      <c r="AN16" s="48"/>
      <c r="AO16" s="56"/>
      <c r="AP16" s="56"/>
      <c r="AQ16" s="48"/>
      <c r="AR16" s="56"/>
      <c r="AS16" s="56"/>
      <c r="AT16" s="48"/>
      <c r="AU16" s="56"/>
      <c r="AV16" s="56"/>
      <c r="AW16" s="48"/>
      <c r="AX16" s="56"/>
      <c r="AY16" s="56"/>
      <c r="AZ16" s="48"/>
      <c r="BA16" s="56"/>
      <c r="BB16" s="56"/>
      <c r="BC16" s="48"/>
      <c r="BD16" s="56"/>
      <c r="BE16" s="56"/>
      <c r="BF16" s="48"/>
      <c r="BG16" s="56"/>
      <c r="BH16" s="56"/>
      <c r="BI16" s="48"/>
      <c r="BJ16" s="56"/>
      <c r="BK16" s="56"/>
      <c r="BL16" s="48"/>
      <c r="BM16" s="56"/>
      <c r="BN16" s="56"/>
      <c r="BO16" s="48"/>
      <c r="BP16" s="56"/>
      <c r="BQ16" s="56"/>
      <c r="BR16" s="48"/>
      <c r="BS16" s="56"/>
      <c r="BT16" s="56"/>
      <c r="BU16" s="48"/>
      <c r="BV16" s="56"/>
      <c r="BW16" s="56"/>
      <c r="BX16" s="48"/>
      <c r="BY16" s="56"/>
      <c r="BZ16" s="56"/>
      <c r="CA16" s="48"/>
      <c r="CB16" s="56"/>
      <c r="CC16" s="56"/>
      <c r="CD16" s="48"/>
      <c r="CE16" s="56"/>
      <c r="CF16" s="56"/>
      <c r="CG16" s="48"/>
      <c r="CH16" s="56"/>
      <c r="CI16" s="56"/>
      <c r="CJ16" s="48"/>
      <c r="CK16" s="56"/>
      <c r="CL16" s="56"/>
      <c r="CM16" s="48"/>
      <c r="CN16" s="56"/>
      <c r="CO16" s="56"/>
      <c r="CP16" s="48"/>
      <c r="CQ16" s="56"/>
      <c r="CR16" s="56"/>
      <c r="CS16" s="48"/>
      <c r="CT16" s="56"/>
      <c r="CU16" s="56"/>
      <c r="CV16" s="48"/>
      <c r="CW16" s="56"/>
      <c r="CX16" s="56"/>
      <c r="CY16" s="48"/>
      <c r="CZ16" s="56"/>
      <c r="DA16" s="56"/>
      <c r="DB16" s="48"/>
      <c r="DC16" s="56"/>
      <c r="DD16" s="56"/>
      <c r="DE16" s="48"/>
      <c r="DF16" s="56"/>
      <c r="DG16" s="56"/>
      <c r="DH16" s="48"/>
      <c r="DI16" s="56"/>
      <c r="DJ16" s="56"/>
      <c r="DK16" s="48"/>
      <c r="DL16" s="56"/>
      <c r="DM16" s="56"/>
      <c r="DN16" s="48"/>
      <c r="DO16" s="10"/>
      <c r="DP16" s="10"/>
      <c r="DQ16" s="48"/>
      <c r="DR16" s="56"/>
      <c r="DS16" s="56"/>
      <c r="DT16" s="48"/>
      <c r="DU16" s="56"/>
      <c r="DV16" s="56"/>
      <c r="DW16" s="48"/>
      <c r="DX16" s="56"/>
      <c r="DY16" s="56"/>
      <c r="DZ16" s="48"/>
      <c r="EA16" s="56"/>
      <c r="EB16" s="56"/>
      <c r="EC16" s="48"/>
      <c r="ED16" s="56"/>
      <c r="EE16" s="56"/>
      <c r="EF16" s="48"/>
      <c r="EG16" s="56"/>
      <c r="EH16" s="56"/>
      <c r="EI16" s="48"/>
      <c r="EJ16" s="56"/>
      <c r="EK16" s="56"/>
      <c r="EL16" s="48"/>
      <c r="EM16" s="56"/>
      <c r="EN16" s="56"/>
      <c r="EO16" s="48"/>
      <c r="EP16" s="56"/>
      <c r="EQ16" s="56"/>
      <c r="ER16" s="48"/>
      <c r="ES16" s="56"/>
      <c r="ET16" s="56"/>
      <c r="EU16" s="48"/>
      <c r="EV16" s="56"/>
      <c r="EW16" s="56"/>
      <c r="EX16" s="48"/>
      <c r="EY16" s="56"/>
      <c r="EZ16" s="56"/>
      <c r="FA16" s="48"/>
      <c r="FB16" s="56"/>
      <c r="FC16" s="56"/>
      <c r="FD16" s="48"/>
      <c r="FE16" s="56"/>
      <c r="FF16" s="56"/>
      <c r="FG16" s="48"/>
      <c r="FH16" s="56"/>
      <c r="FI16" s="56"/>
      <c r="FJ16" s="48"/>
      <c r="FK16" s="56"/>
      <c r="FL16" s="56"/>
      <c r="FM16" s="48"/>
      <c r="FN16" s="56"/>
      <c r="FO16" s="56"/>
      <c r="FP16" s="48"/>
      <c r="FQ16" s="56"/>
      <c r="FR16" s="56"/>
      <c r="FS16" s="48"/>
      <c r="FT16" s="56"/>
      <c r="FU16" s="56"/>
      <c r="FV16" s="48"/>
      <c r="FW16" s="56"/>
      <c r="FX16" s="56"/>
      <c r="FY16" s="48"/>
      <c r="FZ16" s="56"/>
      <c r="GA16" s="56"/>
      <c r="GB16" s="48"/>
      <c r="GC16" s="56"/>
      <c r="GD16" s="56"/>
      <c r="GE16" s="48"/>
      <c r="GF16" s="56"/>
      <c r="GG16" s="56"/>
      <c r="GH16" s="48"/>
      <c r="GI16" s="56"/>
      <c r="GJ16" s="56"/>
      <c r="GK16" s="48"/>
      <c r="GL16" s="56"/>
      <c r="GM16" s="56"/>
      <c r="GN16" s="48"/>
      <c r="GO16" s="56"/>
      <c r="GP16" s="56"/>
      <c r="GQ16" s="48"/>
      <c r="GR16" s="56"/>
      <c r="GS16" s="56"/>
      <c r="GT16" s="48"/>
    </row>
    <row r="17" spans="1:217" x14ac:dyDescent="0.2">
      <c r="A17" s="6" t="s">
        <v>112</v>
      </c>
      <c r="B17" s="5">
        <v>147</v>
      </c>
      <c r="C17" s="58" t="s">
        <v>166</v>
      </c>
      <c r="D17" s="5">
        <v>0</v>
      </c>
      <c r="E17" s="5">
        <v>25.5</v>
      </c>
      <c r="F17" s="5">
        <v>29.650000000000006</v>
      </c>
      <c r="G17" s="53">
        <v>9.4444444444444442E-2</v>
      </c>
      <c r="H17" s="23">
        <v>41737.783020833333</v>
      </c>
      <c r="I17" s="19">
        <v>41738.028298611112</v>
      </c>
      <c r="J17" s="35" t="s">
        <v>184</v>
      </c>
      <c r="K17" s="23">
        <v>41738.31527777778</v>
      </c>
      <c r="L17" s="19">
        <v>41738.567743055559</v>
      </c>
      <c r="M17" s="35" t="s">
        <v>185</v>
      </c>
      <c r="N17" s="23">
        <v>41738.842662037037</v>
      </c>
      <c r="O17" s="19">
        <v>41738.994444444441</v>
      </c>
      <c r="P17" s="35" t="s">
        <v>186</v>
      </c>
      <c r="Q17" s="23"/>
      <c r="R17" s="19"/>
      <c r="S17" s="35"/>
      <c r="T17" s="54"/>
      <c r="U17" s="55"/>
      <c r="V17" s="35"/>
      <c r="W17" s="54"/>
      <c r="X17" s="55"/>
      <c r="Y17" s="35"/>
      <c r="Z17" s="54"/>
      <c r="AA17" s="55"/>
      <c r="AB17" s="35"/>
      <c r="AC17" s="56"/>
      <c r="AD17" s="56"/>
      <c r="AE17" s="48"/>
      <c r="AF17" s="56"/>
      <c r="AG17" s="56"/>
      <c r="AH17" s="48"/>
      <c r="AI17" s="56"/>
      <c r="AJ17" s="56"/>
      <c r="AK17" s="48"/>
      <c r="AL17" s="56"/>
      <c r="AM17" s="56"/>
      <c r="AN17" s="48"/>
      <c r="AO17" s="56"/>
      <c r="AP17" s="56"/>
      <c r="AQ17" s="48"/>
      <c r="AR17" s="56"/>
      <c r="AS17" s="56"/>
      <c r="AT17" s="48"/>
      <c r="AU17" s="56"/>
      <c r="AV17" s="56"/>
      <c r="AW17" s="48"/>
      <c r="AX17" s="56"/>
      <c r="AY17" s="56"/>
      <c r="AZ17" s="48"/>
      <c r="BA17" s="56"/>
      <c r="BB17" s="56"/>
      <c r="BC17" s="48"/>
      <c r="BD17" s="56"/>
      <c r="BE17" s="56"/>
      <c r="BF17" s="48"/>
      <c r="BG17" s="56"/>
      <c r="BH17" s="56"/>
      <c r="BI17" s="48"/>
      <c r="BJ17" s="56"/>
      <c r="BK17" s="56"/>
      <c r="BL17" s="48"/>
      <c r="BM17" s="56"/>
      <c r="BN17" s="56"/>
      <c r="BO17" s="48"/>
      <c r="BP17" s="56"/>
      <c r="BQ17" s="56"/>
      <c r="BR17" s="48"/>
      <c r="BS17" s="56"/>
      <c r="BT17" s="56"/>
      <c r="BU17" s="48"/>
      <c r="BV17" s="56"/>
      <c r="BW17" s="56"/>
      <c r="BX17" s="48"/>
      <c r="BY17" s="56"/>
      <c r="BZ17" s="56"/>
      <c r="CA17" s="48"/>
      <c r="CB17" s="56"/>
      <c r="CC17" s="56"/>
      <c r="CD17" s="48"/>
      <c r="CE17" s="56"/>
      <c r="CF17" s="56"/>
      <c r="CG17" s="48"/>
      <c r="CH17" s="56"/>
      <c r="CI17" s="56"/>
      <c r="CJ17" s="48"/>
      <c r="CK17" s="56"/>
      <c r="CL17" s="56"/>
      <c r="CM17" s="48"/>
      <c r="CN17" s="56"/>
      <c r="CO17" s="56"/>
      <c r="CP17" s="48"/>
      <c r="CQ17" s="56"/>
      <c r="CR17" s="56"/>
      <c r="CS17" s="48"/>
      <c r="CT17" s="56"/>
      <c r="CU17" s="56"/>
      <c r="CV17" s="48"/>
      <c r="CW17" s="56"/>
      <c r="CX17" s="56"/>
      <c r="CY17" s="48"/>
      <c r="CZ17" s="56"/>
      <c r="DA17" s="56"/>
      <c r="DB17" s="48"/>
      <c r="DC17" s="56"/>
      <c r="DD17" s="56"/>
      <c r="DE17" s="48"/>
      <c r="DF17" s="56"/>
      <c r="DG17" s="56"/>
      <c r="DH17" s="48"/>
      <c r="DI17" s="56"/>
      <c r="DJ17" s="56"/>
      <c r="DK17" s="48"/>
      <c r="DL17" s="56"/>
      <c r="DM17" s="56"/>
      <c r="DN17" s="48"/>
      <c r="DO17" s="56"/>
      <c r="DP17" s="56"/>
      <c r="DQ17" s="48"/>
      <c r="DR17" s="56"/>
      <c r="DS17" s="56"/>
      <c r="DT17" s="48"/>
      <c r="DU17" s="10"/>
      <c r="DV17" s="10"/>
      <c r="DW17" s="48"/>
      <c r="DX17" s="56"/>
      <c r="DY17" s="56"/>
      <c r="DZ17" s="48"/>
      <c r="EA17" s="56"/>
      <c r="EB17" s="56"/>
      <c r="EC17" s="48"/>
      <c r="ED17" s="56"/>
      <c r="EE17" s="56"/>
      <c r="EF17" s="48"/>
      <c r="EG17" s="56"/>
      <c r="EH17" s="56"/>
      <c r="EI17" s="48"/>
      <c r="EJ17" s="56"/>
      <c r="EK17" s="56"/>
      <c r="EL17" s="48"/>
      <c r="EM17" s="56"/>
      <c r="EN17" s="56"/>
      <c r="EO17" s="48"/>
      <c r="EP17" s="56"/>
      <c r="EQ17" s="56"/>
      <c r="ER17" s="48"/>
      <c r="ES17" s="56"/>
      <c r="ET17" s="56"/>
      <c r="EU17" s="48"/>
      <c r="EV17" s="56"/>
      <c r="EW17" s="56"/>
      <c r="EX17" s="48"/>
      <c r="EY17" s="56"/>
      <c r="EZ17" s="56"/>
      <c r="FA17" s="48"/>
      <c r="FB17" s="56"/>
      <c r="FC17" s="56"/>
      <c r="FD17" s="48"/>
      <c r="FE17" s="56"/>
      <c r="FF17" s="56"/>
      <c r="FG17" s="48"/>
      <c r="FH17" s="56"/>
      <c r="FI17" s="56"/>
      <c r="FJ17" s="48"/>
      <c r="FK17" s="56"/>
      <c r="FL17" s="56"/>
      <c r="FM17" s="48"/>
      <c r="FN17" s="56"/>
      <c r="FO17" s="56"/>
      <c r="FP17" s="48"/>
      <c r="FQ17" s="56"/>
      <c r="FR17" s="56"/>
      <c r="FS17" s="48"/>
      <c r="FT17" s="56"/>
      <c r="FU17" s="56"/>
      <c r="FV17" s="48"/>
      <c r="FW17" s="56"/>
      <c r="FX17" s="56"/>
      <c r="FY17" s="48"/>
      <c r="FZ17" s="56"/>
      <c r="GA17" s="56"/>
      <c r="GB17" s="48"/>
      <c r="GC17" s="56"/>
      <c r="GD17" s="56"/>
      <c r="GE17" s="48"/>
      <c r="GF17" s="56"/>
      <c r="GG17" s="56"/>
      <c r="GH17" s="48"/>
      <c r="GI17" s="56"/>
      <c r="GJ17" s="56"/>
      <c r="GK17" s="48"/>
      <c r="GL17" s="56"/>
      <c r="GM17" s="56"/>
      <c r="GN17" s="48"/>
      <c r="GO17" s="56"/>
      <c r="GP17" s="56"/>
      <c r="GQ17" s="48"/>
      <c r="GR17" s="56"/>
      <c r="GS17" s="56"/>
      <c r="GT17" s="48"/>
      <c r="GU17" s="56"/>
      <c r="GV17" s="56"/>
      <c r="GW17" s="48"/>
      <c r="GX17" s="56"/>
      <c r="GY17" s="56"/>
      <c r="GZ17" s="48"/>
      <c r="HA17" s="56"/>
      <c r="HB17" s="56"/>
      <c r="HC17" s="48"/>
    </row>
    <row r="18" spans="1:217" x14ac:dyDescent="0.2">
      <c r="A18" s="6" t="s">
        <v>16</v>
      </c>
      <c r="B18" s="5">
        <v>147</v>
      </c>
      <c r="C18" s="58" t="s">
        <v>187</v>
      </c>
      <c r="D18" s="5">
        <v>0</v>
      </c>
      <c r="E18" s="5">
        <v>21.8</v>
      </c>
      <c r="F18" s="5">
        <v>33.750000000000007</v>
      </c>
      <c r="G18" s="53">
        <v>0.1076388888888889</v>
      </c>
      <c r="H18" s="23">
        <v>41737.765462962961</v>
      </c>
      <c r="I18" s="19">
        <v>41738.058680555558</v>
      </c>
      <c r="J18" s="35" t="s">
        <v>188</v>
      </c>
      <c r="K18" s="23">
        <v>41738.295775462961</v>
      </c>
      <c r="L18" s="19">
        <v>41738.599918981483</v>
      </c>
      <c r="M18" s="35" t="s">
        <v>189</v>
      </c>
      <c r="N18" s="23">
        <v>41738.820752314816</v>
      </c>
      <c r="O18" s="19">
        <v>41739</v>
      </c>
      <c r="P18" s="35" t="s">
        <v>190</v>
      </c>
      <c r="Q18" s="23"/>
      <c r="R18" s="19"/>
      <c r="S18" s="35"/>
      <c r="T18" s="54"/>
      <c r="U18" s="55"/>
      <c r="V18" s="35"/>
      <c r="W18" s="54"/>
      <c r="X18" s="55"/>
      <c r="Y18" s="35"/>
      <c r="Z18" s="54"/>
      <c r="AA18" s="55"/>
      <c r="AB18" s="35"/>
      <c r="AC18" s="56"/>
      <c r="AD18" s="56"/>
      <c r="AE18" s="48"/>
      <c r="AF18" s="56"/>
      <c r="AG18" s="56"/>
      <c r="AH18" s="48"/>
      <c r="AI18" s="56"/>
      <c r="AJ18" s="56"/>
      <c r="AK18" s="48"/>
      <c r="AL18" s="56"/>
      <c r="AM18" s="56"/>
      <c r="AN18" s="48"/>
      <c r="AO18" s="56"/>
      <c r="AP18" s="56"/>
      <c r="AQ18" s="48"/>
      <c r="AR18" s="56"/>
      <c r="AS18" s="56"/>
      <c r="AT18" s="48"/>
      <c r="AU18" s="56"/>
      <c r="AV18" s="56"/>
      <c r="AW18" s="48"/>
      <c r="AX18" s="56"/>
      <c r="AY18" s="56"/>
      <c r="AZ18" s="48"/>
      <c r="BA18" s="56"/>
      <c r="BB18" s="56"/>
      <c r="BC18" s="48"/>
      <c r="BD18" s="56"/>
      <c r="BE18" s="56"/>
      <c r="BF18" s="48"/>
      <c r="BG18" s="56"/>
      <c r="BH18" s="56"/>
      <c r="BI18" s="48"/>
      <c r="BJ18" s="56"/>
      <c r="BK18" s="56"/>
      <c r="BL18" s="48"/>
      <c r="BM18" s="56"/>
      <c r="BN18" s="56"/>
      <c r="BO18" s="48"/>
      <c r="BP18" s="56"/>
      <c r="BQ18" s="56"/>
      <c r="BR18" s="48"/>
      <c r="BS18" s="56"/>
      <c r="BT18" s="56"/>
      <c r="BU18" s="48"/>
      <c r="BV18" s="56"/>
      <c r="BW18" s="56"/>
      <c r="BX18" s="48"/>
      <c r="BY18" s="56"/>
      <c r="BZ18" s="56"/>
      <c r="CA18" s="48"/>
      <c r="CB18" s="56"/>
      <c r="CC18" s="56"/>
      <c r="CD18" s="48"/>
      <c r="CE18" s="56"/>
      <c r="CF18" s="56"/>
      <c r="CG18" s="48"/>
      <c r="CH18" s="56"/>
      <c r="CI18" s="56"/>
      <c r="CJ18" s="48"/>
      <c r="CK18" s="56"/>
      <c r="CL18" s="56"/>
      <c r="CM18" s="48"/>
      <c r="CN18" s="56"/>
      <c r="CO18" s="56"/>
      <c r="CP18" s="48"/>
      <c r="CQ18" s="56"/>
      <c r="CR18" s="56"/>
      <c r="CS18" s="48"/>
      <c r="CT18" s="56"/>
      <c r="CU18" s="56"/>
      <c r="CV18" s="48"/>
      <c r="CW18" s="56"/>
      <c r="CX18" s="56"/>
      <c r="CY18" s="48"/>
      <c r="CZ18" s="56"/>
      <c r="DA18" s="56"/>
      <c r="DB18" s="48"/>
      <c r="DC18" s="56"/>
      <c r="DD18" s="56"/>
      <c r="DE18" s="48"/>
      <c r="DF18" s="56"/>
      <c r="DG18" s="56"/>
      <c r="DH18" s="48"/>
      <c r="DI18" s="56"/>
      <c r="DJ18" s="56"/>
      <c r="DK18" s="48"/>
      <c r="DL18" s="10"/>
      <c r="DM18" s="10"/>
      <c r="DN18" s="48"/>
      <c r="DO18" s="56"/>
      <c r="DP18" s="56"/>
      <c r="DQ18" s="48"/>
      <c r="DR18" s="56"/>
      <c r="DS18" s="56"/>
      <c r="DT18" s="48"/>
      <c r="DU18" s="56"/>
      <c r="DV18" s="56"/>
      <c r="DW18" s="48"/>
      <c r="DX18" s="56"/>
      <c r="DY18" s="56"/>
      <c r="DZ18" s="48"/>
      <c r="EA18" s="56"/>
      <c r="EB18" s="56"/>
      <c r="EC18" s="48"/>
      <c r="ED18" s="56"/>
      <c r="EE18" s="56"/>
      <c r="EF18" s="48"/>
      <c r="EG18" s="56"/>
      <c r="EH18" s="56"/>
      <c r="EI18" s="48"/>
      <c r="EJ18" s="56"/>
      <c r="EK18" s="56"/>
      <c r="EL18" s="48"/>
      <c r="EM18" s="56"/>
      <c r="EN18" s="56"/>
      <c r="EO18" s="48"/>
      <c r="EP18" s="56"/>
      <c r="EQ18" s="56"/>
      <c r="ER18" s="48"/>
      <c r="ES18" s="56"/>
      <c r="ET18" s="56"/>
      <c r="EU18" s="48"/>
      <c r="EV18" s="56"/>
      <c r="EW18" s="56"/>
      <c r="EX18" s="48"/>
      <c r="EY18" s="56"/>
      <c r="EZ18" s="56"/>
      <c r="FA18" s="48"/>
      <c r="FB18" s="56"/>
      <c r="FC18" s="56"/>
      <c r="FD18" s="48"/>
      <c r="FE18" s="56"/>
      <c r="FF18" s="56"/>
      <c r="FG18" s="48"/>
      <c r="FH18" s="56"/>
      <c r="FI18" s="56"/>
      <c r="FJ18" s="48"/>
      <c r="FK18" s="56"/>
      <c r="FL18" s="56"/>
      <c r="FM18" s="48"/>
      <c r="FN18" s="56"/>
      <c r="FO18" s="56"/>
      <c r="FP18" s="48"/>
      <c r="FQ18" s="56"/>
      <c r="FR18" s="56"/>
      <c r="FS18" s="48"/>
      <c r="FT18" s="56"/>
      <c r="FU18" s="56"/>
      <c r="FV18" s="48"/>
      <c r="FW18" s="56"/>
      <c r="FX18" s="56"/>
      <c r="FY18" s="48"/>
      <c r="FZ18" s="56"/>
      <c r="GA18" s="56"/>
      <c r="GB18" s="48"/>
      <c r="GC18" s="56"/>
      <c r="GD18" s="56"/>
      <c r="GE18" s="48"/>
      <c r="GF18" s="56"/>
      <c r="GG18" s="56"/>
      <c r="GH18" s="48"/>
      <c r="GI18" s="56"/>
      <c r="GJ18" s="56"/>
      <c r="GK18" s="48"/>
    </row>
    <row r="19" spans="1:217" x14ac:dyDescent="0.2">
      <c r="A19" s="6" t="s">
        <v>11</v>
      </c>
      <c r="B19" s="5">
        <v>147</v>
      </c>
      <c r="C19" s="58" t="s">
        <v>187</v>
      </c>
      <c r="D19" s="5">
        <v>0</v>
      </c>
      <c r="E19" s="5">
        <v>21.8</v>
      </c>
      <c r="F19" s="5">
        <v>40.850000000000009</v>
      </c>
      <c r="G19" s="53">
        <v>0.13263888888888889</v>
      </c>
      <c r="H19" s="23">
        <v>41737.769386574073</v>
      </c>
      <c r="I19" s="19">
        <v>41738.071655092594</v>
      </c>
      <c r="J19" s="35" t="s">
        <v>191</v>
      </c>
      <c r="K19" s="23">
        <v>41738.296585648146</v>
      </c>
      <c r="L19" s="19">
        <v>41738.610763888886</v>
      </c>
      <c r="M19" s="35" t="s">
        <v>192</v>
      </c>
      <c r="N19" s="23">
        <v>41738.821377314816</v>
      </c>
      <c r="O19" s="19">
        <v>41739</v>
      </c>
      <c r="P19" s="35" t="s">
        <v>193</v>
      </c>
      <c r="Q19" s="23"/>
      <c r="R19" s="19"/>
      <c r="S19" s="35"/>
      <c r="T19" s="54"/>
      <c r="U19" s="55"/>
      <c r="V19" s="35"/>
      <c r="W19" s="54"/>
      <c r="X19" s="55"/>
      <c r="Y19" s="35"/>
      <c r="Z19" s="54"/>
      <c r="AA19" s="55"/>
      <c r="AB19" s="35"/>
      <c r="AC19" s="56"/>
      <c r="AD19" s="56"/>
      <c r="AE19" s="48"/>
      <c r="AF19" s="56"/>
      <c r="AG19" s="56"/>
      <c r="AH19" s="48"/>
      <c r="AI19" s="56"/>
      <c r="AJ19" s="56"/>
      <c r="AK19" s="48"/>
      <c r="AL19" s="56"/>
      <c r="AM19" s="56"/>
      <c r="AN19" s="48"/>
      <c r="AO19" s="56"/>
      <c r="AP19" s="56"/>
      <c r="AQ19" s="48"/>
      <c r="AR19" s="56"/>
      <c r="AS19" s="56"/>
      <c r="AT19" s="48"/>
      <c r="AU19" s="56"/>
      <c r="AV19" s="56"/>
      <c r="AW19" s="48"/>
      <c r="AX19" s="56"/>
      <c r="AY19" s="56"/>
      <c r="AZ19" s="48"/>
      <c r="BA19" s="56"/>
      <c r="BB19" s="56"/>
      <c r="BC19" s="48"/>
      <c r="BD19" s="56"/>
      <c r="BE19" s="56"/>
      <c r="BF19" s="48"/>
      <c r="BG19" s="56"/>
      <c r="BH19" s="56"/>
      <c r="BI19" s="48"/>
      <c r="BJ19" s="56"/>
      <c r="BK19" s="56"/>
      <c r="BL19" s="48"/>
      <c r="BM19" s="56"/>
      <c r="BN19" s="56"/>
      <c r="BO19" s="48"/>
      <c r="BP19" s="56"/>
      <c r="BQ19" s="56"/>
      <c r="BR19" s="48"/>
      <c r="BS19" s="56"/>
      <c r="BT19" s="56"/>
      <c r="BU19" s="48"/>
      <c r="BV19" s="56"/>
      <c r="BW19" s="56"/>
      <c r="BX19" s="48"/>
      <c r="BY19" s="56"/>
      <c r="BZ19" s="56"/>
      <c r="CA19" s="48"/>
      <c r="CB19" s="56"/>
      <c r="CC19" s="56"/>
      <c r="CD19" s="48"/>
      <c r="CE19" s="56"/>
      <c r="CF19" s="56"/>
      <c r="CG19" s="48"/>
      <c r="CH19" s="56"/>
      <c r="CI19" s="56"/>
      <c r="CJ19" s="48"/>
      <c r="CK19" s="56"/>
      <c r="CL19" s="56"/>
      <c r="CM19" s="48"/>
      <c r="CN19" s="56"/>
      <c r="CO19" s="56"/>
      <c r="CP19" s="48"/>
      <c r="CQ19" s="56"/>
      <c r="CR19" s="56"/>
      <c r="CS19" s="48"/>
      <c r="CT19" s="56"/>
      <c r="CU19" s="56"/>
      <c r="CV19" s="48"/>
      <c r="CW19" s="56"/>
      <c r="CX19" s="56"/>
      <c r="CY19" s="48"/>
      <c r="CZ19" s="56"/>
      <c r="DA19" s="56"/>
      <c r="DB19" s="48"/>
      <c r="DC19" s="56"/>
      <c r="DD19" s="56"/>
      <c r="DE19" s="48"/>
      <c r="DF19" s="56"/>
      <c r="DG19" s="56"/>
      <c r="DH19" s="48"/>
      <c r="DI19" s="56"/>
      <c r="DJ19" s="56"/>
      <c r="DK19" s="48"/>
      <c r="DL19" s="56"/>
      <c r="DM19" s="56"/>
      <c r="DN19" s="48"/>
      <c r="DO19" s="56"/>
      <c r="DP19" s="56"/>
      <c r="DQ19" s="48"/>
      <c r="DR19" s="56"/>
      <c r="DS19" s="56"/>
      <c r="DT19" s="48"/>
      <c r="DU19" s="56"/>
      <c r="DV19" s="56"/>
      <c r="DW19" s="48"/>
      <c r="DX19" s="10"/>
      <c r="DY19" s="10"/>
      <c r="DZ19" s="48"/>
      <c r="EA19" s="56"/>
      <c r="EB19" s="56"/>
      <c r="EC19" s="48"/>
      <c r="ED19" s="56"/>
      <c r="EE19" s="56"/>
      <c r="EF19" s="48"/>
      <c r="EG19" s="56"/>
      <c r="EH19" s="56"/>
      <c r="EI19" s="48"/>
      <c r="EJ19" s="56"/>
      <c r="EK19" s="56"/>
      <c r="EL19" s="48"/>
      <c r="EM19" s="56"/>
      <c r="EN19" s="56"/>
      <c r="EO19" s="48"/>
      <c r="EP19" s="56"/>
      <c r="EQ19" s="56"/>
      <c r="ER19" s="48"/>
      <c r="ES19" s="56"/>
      <c r="ET19" s="56"/>
      <c r="EU19" s="48"/>
      <c r="EV19" s="56"/>
      <c r="EW19" s="56"/>
      <c r="EX19" s="48"/>
      <c r="EY19" s="56"/>
      <c r="EZ19" s="56"/>
      <c r="FA19" s="48"/>
      <c r="FB19" s="56"/>
      <c r="FC19" s="56"/>
      <c r="FD19" s="48"/>
      <c r="FE19" s="56"/>
      <c r="FF19" s="56"/>
      <c r="FG19" s="48"/>
      <c r="FH19" s="56"/>
      <c r="FI19" s="56"/>
      <c r="FJ19" s="48"/>
      <c r="FK19" s="56"/>
      <c r="FL19" s="56"/>
      <c r="FM19" s="48"/>
      <c r="FN19" s="56"/>
      <c r="FO19" s="56"/>
      <c r="FP19" s="48"/>
      <c r="FQ19" s="56"/>
      <c r="FR19" s="56"/>
      <c r="FS19" s="48"/>
      <c r="FT19" s="56"/>
      <c r="FU19" s="56"/>
      <c r="FV19" s="48"/>
      <c r="FW19" s="56"/>
      <c r="FX19" s="56"/>
      <c r="FY19" s="48"/>
      <c r="FZ19" s="56"/>
      <c r="GA19" s="56"/>
      <c r="GB19" s="48"/>
      <c r="GC19" s="56"/>
      <c r="GD19" s="56"/>
      <c r="GE19" s="48"/>
      <c r="GF19" s="56"/>
      <c r="GG19" s="56"/>
      <c r="GH19" s="48"/>
      <c r="GI19" s="56"/>
      <c r="GJ19" s="56"/>
      <c r="GK19" s="48"/>
      <c r="GL19" s="56"/>
      <c r="GM19" s="56"/>
      <c r="GN19" s="48"/>
      <c r="GO19" s="56"/>
      <c r="GP19" s="56"/>
      <c r="GQ19" s="48"/>
      <c r="GR19" s="56"/>
      <c r="GS19" s="56"/>
      <c r="GT19" s="48"/>
      <c r="GU19" s="56"/>
      <c r="GV19" s="56"/>
      <c r="GW19" s="48"/>
      <c r="GX19" s="56"/>
      <c r="GY19" s="56"/>
      <c r="GZ19" s="48"/>
      <c r="HA19" s="56"/>
      <c r="HB19" s="56"/>
      <c r="HC19" s="48"/>
    </row>
    <row r="20" spans="1:217" x14ac:dyDescent="0.2">
      <c r="A20" s="6" t="s">
        <v>15</v>
      </c>
      <c r="B20" s="5">
        <v>146</v>
      </c>
      <c r="C20" s="58" t="s">
        <v>187</v>
      </c>
      <c r="D20" s="5">
        <v>0</v>
      </c>
      <c r="E20" s="5">
        <v>22.8</v>
      </c>
      <c r="F20" s="5">
        <v>41.500000000000007</v>
      </c>
      <c r="G20" s="53">
        <v>0.13472222222222222</v>
      </c>
      <c r="H20" s="23">
        <v>41737.774305555555</v>
      </c>
      <c r="I20" s="19">
        <v>41738.071018518516</v>
      </c>
      <c r="J20" s="35" t="s">
        <v>194</v>
      </c>
      <c r="K20" s="23">
        <v>41738.303148148145</v>
      </c>
      <c r="L20" s="19">
        <v>41738.610069444447</v>
      </c>
      <c r="M20" s="35" t="s">
        <v>195</v>
      </c>
      <c r="N20" s="23">
        <v>41738.827430555553</v>
      </c>
      <c r="O20" s="19">
        <v>41739</v>
      </c>
      <c r="P20" s="35" t="s">
        <v>196</v>
      </c>
      <c r="Q20" s="23"/>
      <c r="R20" s="19"/>
      <c r="S20" s="35"/>
      <c r="T20" s="54"/>
      <c r="U20" s="55"/>
      <c r="V20" s="35"/>
      <c r="W20" s="54"/>
      <c r="X20" s="55"/>
      <c r="Y20" s="35"/>
      <c r="Z20" s="54"/>
      <c r="AA20" s="55"/>
      <c r="AB20" s="35"/>
      <c r="AC20" s="56"/>
      <c r="AD20" s="56"/>
      <c r="AE20" s="48"/>
      <c r="AF20" s="56"/>
      <c r="AG20" s="56"/>
      <c r="AH20" s="48"/>
      <c r="AI20" s="56"/>
      <c r="AJ20" s="56"/>
      <c r="AK20" s="48"/>
      <c r="AL20" s="56"/>
      <c r="AM20" s="56"/>
      <c r="AN20" s="48"/>
      <c r="AO20" s="56"/>
      <c r="AP20" s="56"/>
      <c r="AQ20" s="48"/>
      <c r="AR20" s="56"/>
      <c r="AS20" s="56"/>
      <c r="AT20" s="48"/>
      <c r="AU20" s="56"/>
      <c r="AV20" s="56"/>
      <c r="AW20" s="48"/>
      <c r="AX20" s="56"/>
      <c r="AY20" s="56"/>
      <c r="AZ20" s="48"/>
      <c r="BA20" s="56"/>
      <c r="BB20" s="56"/>
      <c r="BC20" s="48"/>
      <c r="BD20" s="56"/>
      <c r="BE20" s="56"/>
      <c r="BF20" s="48"/>
      <c r="BG20" s="56"/>
      <c r="BH20" s="56"/>
      <c r="BI20" s="48"/>
      <c r="BJ20" s="56"/>
      <c r="BK20" s="56"/>
      <c r="BL20" s="48"/>
      <c r="BM20" s="56"/>
      <c r="BN20" s="56"/>
      <c r="BO20" s="48"/>
      <c r="BP20" s="56"/>
      <c r="BQ20" s="56"/>
      <c r="BR20" s="48"/>
      <c r="BS20" s="56"/>
      <c r="BT20" s="56"/>
      <c r="BU20" s="48"/>
      <c r="BV20" s="56"/>
      <c r="BW20" s="56"/>
      <c r="BX20" s="48"/>
      <c r="BY20" s="56"/>
      <c r="BZ20" s="56"/>
      <c r="CA20" s="48"/>
      <c r="CB20" s="56"/>
      <c r="CC20" s="56"/>
      <c r="CD20" s="48"/>
      <c r="CE20" s="56"/>
      <c r="CF20" s="56"/>
      <c r="CG20" s="48"/>
      <c r="CH20" s="56"/>
      <c r="CI20" s="56"/>
      <c r="CJ20" s="48"/>
      <c r="CK20" s="56"/>
      <c r="CL20" s="56"/>
      <c r="CM20" s="48"/>
      <c r="CN20" s="56"/>
      <c r="CO20" s="56"/>
      <c r="CP20" s="48"/>
      <c r="CQ20" s="56"/>
      <c r="CR20" s="56"/>
      <c r="CS20" s="48"/>
      <c r="CT20" s="56"/>
      <c r="CU20" s="56"/>
      <c r="CV20" s="48"/>
      <c r="CW20" s="56"/>
      <c r="CX20" s="56"/>
      <c r="CY20" s="48"/>
      <c r="CZ20" s="56"/>
      <c r="DA20" s="56"/>
      <c r="DB20" s="48"/>
      <c r="DC20" s="56"/>
      <c r="DD20" s="56"/>
      <c r="DE20" s="48"/>
      <c r="DF20" s="56"/>
      <c r="DG20" s="56"/>
      <c r="DH20" s="48"/>
      <c r="DI20" s="56"/>
      <c r="DJ20" s="56"/>
      <c r="DK20" s="48"/>
      <c r="DL20" s="10"/>
      <c r="DM20" s="10"/>
      <c r="DN20" s="48"/>
      <c r="DO20" s="56"/>
      <c r="DP20" s="56"/>
      <c r="DQ20" s="48"/>
      <c r="DR20" s="56"/>
      <c r="DS20" s="56"/>
      <c r="DT20" s="48"/>
      <c r="DU20" s="56"/>
      <c r="DV20" s="56"/>
      <c r="DW20" s="48"/>
      <c r="DX20" s="56"/>
      <c r="DY20" s="56"/>
      <c r="DZ20" s="48"/>
      <c r="EA20" s="56"/>
      <c r="EB20" s="56"/>
      <c r="EC20" s="48"/>
      <c r="ED20" s="56"/>
      <c r="EE20" s="56"/>
      <c r="EF20" s="48"/>
      <c r="EG20" s="56"/>
      <c r="EH20" s="56"/>
      <c r="EI20" s="48"/>
      <c r="EJ20" s="56"/>
      <c r="EK20" s="56"/>
      <c r="EL20" s="48"/>
      <c r="EM20" s="56"/>
      <c r="EN20" s="56"/>
      <c r="EO20" s="48"/>
      <c r="EP20" s="56"/>
      <c r="EQ20" s="56"/>
      <c r="ER20" s="48"/>
      <c r="ES20" s="56"/>
      <c r="ET20" s="56"/>
      <c r="EU20" s="48"/>
      <c r="EV20" s="56"/>
      <c r="EW20" s="56"/>
      <c r="EX20" s="48"/>
      <c r="EY20" s="56"/>
      <c r="EZ20" s="56"/>
      <c r="FA20" s="48"/>
      <c r="FB20" s="56"/>
      <c r="FC20" s="56"/>
      <c r="FD20" s="48"/>
      <c r="FE20" s="56"/>
      <c r="FF20" s="56"/>
      <c r="FG20" s="48"/>
      <c r="FH20" s="56"/>
      <c r="FI20" s="56"/>
      <c r="FJ20" s="48"/>
      <c r="FK20" s="56"/>
      <c r="FL20" s="56"/>
      <c r="FM20" s="48"/>
      <c r="FN20" s="56"/>
      <c r="FO20" s="56"/>
      <c r="FP20" s="48"/>
      <c r="FQ20" s="56"/>
      <c r="FR20" s="56"/>
      <c r="FS20" s="48"/>
      <c r="FT20" s="56"/>
      <c r="FU20" s="56"/>
      <c r="FV20" s="48"/>
      <c r="FW20" s="56"/>
      <c r="FX20" s="56"/>
      <c r="FY20" s="48"/>
      <c r="FZ20" s="56"/>
      <c r="GA20" s="56"/>
      <c r="GB20" s="48"/>
      <c r="GC20" s="56"/>
      <c r="GD20" s="56"/>
      <c r="GE20" s="48"/>
      <c r="GF20" s="56"/>
      <c r="GG20" s="56"/>
      <c r="GH20" s="48"/>
    </row>
    <row r="21" spans="1:217" x14ac:dyDescent="0.2">
      <c r="A21" s="6" t="s">
        <v>14</v>
      </c>
      <c r="B21" s="5">
        <v>145</v>
      </c>
      <c r="C21" s="58" t="s">
        <v>187</v>
      </c>
      <c r="D21" s="5">
        <v>0</v>
      </c>
      <c r="E21" s="5">
        <v>23.8</v>
      </c>
      <c r="F21" s="5">
        <v>47.370000000000005</v>
      </c>
      <c r="G21" s="53">
        <v>0.15486111111111112</v>
      </c>
      <c r="H21" s="23">
        <v>41737.779108796298</v>
      </c>
      <c r="I21" s="19">
        <v>41738.0703125</v>
      </c>
      <c r="J21" s="35" t="s">
        <v>197</v>
      </c>
      <c r="K21" s="23">
        <v>41738.309560185182</v>
      </c>
      <c r="L21" s="19">
        <v>41738.608900462961</v>
      </c>
      <c r="M21" s="35" t="s">
        <v>198</v>
      </c>
      <c r="N21" s="23">
        <v>41738.833680555559</v>
      </c>
      <c r="O21" s="19">
        <v>41739</v>
      </c>
      <c r="P21" s="35" t="s">
        <v>199</v>
      </c>
      <c r="Q21" s="23"/>
      <c r="R21" s="19"/>
      <c r="S21" s="35"/>
      <c r="T21" s="54"/>
      <c r="U21" s="55"/>
      <c r="V21" s="35"/>
      <c r="W21" s="54"/>
      <c r="X21" s="55"/>
      <c r="Y21" s="35"/>
      <c r="Z21" s="54"/>
      <c r="AA21" s="55"/>
      <c r="AB21" s="35"/>
      <c r="AC21" s="56"/>
      <c r="AD21" s="56"/>
      <c r="AE21" s="48"/>
      <c r="AF21" s="56"/>
      <c r="AG21" s="56"/>
      <c r="AH21" s="48"/>
      <c r="AI21" s="56"/>
      <c r="AJ21" s="56"/>
      <c r="AK21" s="48"/>
      <c r="AL21" s="56"/>
      <c r="AM21" s="56"/>
      <c r="AN21" s="48"/>
      <c r="AO21" s="56"/>
      <c r="AP21" s="56"/>
      <c r="AQ21" s="48"/>
      <c r="AR21" s="56"/>
      <c r="AS21" s="56"/>
      <c r="AT21" s="48"/>
      <c r="AU21" s="56"/>
      <c r="AV21" s="56"/>
      <c r="AW21" s="48"/>
      <c r="AX21" s="56"/>
      <c r="AY21" s="56"/>
      <c r="AZ21" s="48"/>
      <c r="BA21" s="56"/>
      <c r="BB21" s="56"/>
      <c r="BC21" s="48"/>
      <c r="BD21" s="56"/>
      <c r="BE21" s="56"/>
      <c r="BF21" s="48"/>
      <c r="BG21" s="56"/>
      <c r="BH21" s="56"/>
      <c r="BI21" s="48"/>
      <c r="BJ21" s="56"/>
      <c r="BK21" s="56"/>
      <c r="BL21" s="48"/>
      <c r="BM21" s="56"/>
      <c r="BN21" s="56"/>
      <c r="BO21" s="48"/>
      <c r="BP21" s="56"/>
      <c r="BQ21" s="56"/>
      <c r="BR21" s="48"/>
      <c r="BS21" s="56"/>
      <c r="BT21" s="56"/>
      <c r="BU21" s="48"/>
      <c r="BV21" s="56"/>
      <c r="BW21" s="56"/>
      <c r="BX21" s="48"/>
      <c r="BY21" s="56"/>
      <c r="BZ21" s="56"/>
      <c r="CA21" s="48"/>
      <c r="CB21" s="56"/>
      <c r="CC21" s="56"/>
      <c r="CD21" s="48"/>
      <c r="CE21" s="56"/>
      <c r="CF21" s="56"/>
      <c r="CG21" s="48"/>
      <c r="CH21" s="56"/>
      <c r="CI21" s="56"/>
      <c r="CJ21" s="48"/>
      <c r="CK21" s="56"/>
      <c r="CL21" s="56"/>
      <c r="CM21" s="48"/>
      <c r="CN21" s="56"/>
      <c r="CO21" s="56"/>
      <c r="CP21" s="48"/>
      <c r="CQ21" s="56"/>
      <c r="CR21" s="56"/>
      <c r="CS21" s="48"/>
      <c r="CT21" s="56"/>
      <c r="CU21" s="56"/>
      <c r="CV21" s="48"/>
      <c r="CW21" s="56"/>
      <c r="CX21" s="56"/>
      <c r="CY21" s="48"/>
      <c r="CZ21" s="56"/>
      <c r="DA21" s="56"/>
      <c r="DB21" s="48"/>
      <c r="DC21" s="56"/>
      <c r="DD21" s="56"/>
      <c r="DE21" s="48"/>
      <c r="DF21" s="56"/>
      <c r="DG21" s="56"/>
      <c r="DH21" s="48"/>
      <c r="DI21" s="56"/>
      <c r="DJ21" s="56"/>
      <c r="DK21" s="48"/>
      <c r="DL21" s="56"/>
      <c r="DM21" s="56"/>
      <c r="DN21" s="48"/>
      <c r="DO21" s="56"/>
      <c r="DP21" s="56"/>
      <c r="DQ21" s="48"/>
      <c r="DR21" s="56"/>
      <c r="DS21" s="56"/>
      <c r="DT21" s="48"/>
      <c r="DU21" s="10"/>
      <c r="DV21" s="10"/>
      <c r="DW21" s="48"/>
      <c r="DX21" s="56"/>
      <c r="DY21" s="56"/>
      <c r="DZ21" s="48"/>
      <c r="EA21" s="56"/>
      <c r="EB21" s="56"/>
      <c r="EC21" s="48"/>
      <c r="ED21" s="56"/>
      <c r="EE21" s="56"/>
      <c r="EF21" s="48"/>
      <c r="EG21" s="56"/>
      <c r="EH21" s="56"/>
      <c r="EI21" s="48"/>
      <c r="EJ21" s="56"/>
      <c r="EK21" s="56"/>
      <c r="EL21" s="48"/>
      <c r="EM21" s="56"/>
      <c r="EN21" s="56"/>
      <c r="EO21" s="48"/>
      <c r="EP21" s="56"/>
      <c r="EQ21" s="56"/>
      <c r="ER21" s="48"/>
      <c r="ES21" s="56"/>
      <c r="ET21" s="56"/>
      <c r="EU21" s="48"/>
      <c r="EV21" s="56"/>
      <c r="EW21" s="56"/>
      <c r="EX21" s="48"/>
      <c r="EY21" s="56"/>
      <c r="EZ21" s="56"/>
      <c r="FA21" s="48"/>
      <c r="FB21" s="56"/>
      <c r="FC21" s="56"/>
      <c r="FD21" s="48"/>
      <c r="FE21" s="56"/>
      <c r="FF21" s="56"/>
      <c r="FG21" s="48"/>
      <c r="FH21" s="56"/>
      <c r="FI21" s="56"/>
      <c r="FJ21" s="48"/>
      <c r="FK21" s="56"/>
      <c r="FL21" s="56"/>
      <c r="FM21" s="48"/>
      <c r="FN21" s="56"/>
      <c r="FO21" s="56"/>
      <c r="FP21" s="48"/>
      <c r="FQ21" s="56"/>
      <c r="FR21" s="56"/>
      <c r="FS21" s="48"/>
      <c r="FT21" s="56"/>
      <c r="FU21" s="56"/>
      <c r="FV21" s="48"/>
      <c r="FW21" s="56"/>
      <c r="FX21" s="56"/>
      <c r="FY21" s="48"/>
      <c r="FZ21" s="56"/>
      <c r="GA21" s="56"/>
      <c r="GB21" s="48"/>
      <c r="GC21" s="56"/>
      <c r="GD21" s="56"/>
      <c r="GE21" s="48"/>
      <c r="GF21" s="56"/>
      <c r="GG21" s="56"/>
      <c r="GH21" s="48"/>
      <c r="GI21" s="56"/>
      <c r="GJ21" s="56"/>
      <c r="GK21" s="48"/>
      <c r="GL21" s="56"/>
      <c r="GM21" s="56"/>
      <c r="GN21" s="48"/>
      <c r="GO21" s="56"/>
      <c r="GP21" s="56"/>
      <c r="GQ21" s="48"/>
    </row>
    <row r="22" spans="1:217" x14ac:dyDescent="0.2">
      <c r="A22" s="6" t="s">
        <v>20</v>
      </c>
      <c r="B22" s="5">
        <v>145</v>
      </c>
      <c r="C22" s="58" t="s">
        <v>187</v>
      </c>
      <c r="D22" s="5">
        <v>0</v>
      </c>
      <c r="E22" s="5">
        <v>23.8</v>
      </c>
      <c r="F22" s="5">
        <v>51.790000000000006</v>
      </c>
      <c r="G22" s="53">
        <v>0.17013888888888887</v>
      </c>
      <c r="H22" s="23">
        <v>41737.780381944445</v>
      </c>
      <c r="I22" s="19">
        <v>41738.077337962961</v>
      </c>
      <c r="J22" s="35" t="s">
        <v>200</v>
      </c>
      <c r="K22" s="23">
        <v>41738.31009259259</v>
      </c>
      <c r="L22" s="19">
        <v>41738.615844907406</v>
      </c>
      <c r="M22" s="35" t="s">
        <v>201</v>
      </c>
      <c r="N22" s="23">
        <v>41738.833645833336</v>
      </c>
      <c r="O22" s="19">
        <v>41739</v>
      </c>
      <c r="P22" s="35" t="s">
        <v>199</v>
      </c>
      <c r="Q22" s="23"/>
      <c r="R22" s="19"/>
      <c r="S22" s="35"/>
      <c r="T22" s="54"/>
      <c r="U22" s="55"/>
      <c r="V22" s="35"/>
      <c r="W22" s="54"/>
      <c r="X22" s="55"/>
      <c r="Y22" s="35"/>
      <c r="Z22" s="54"/>
      <c r="AA22" s="55"/>
      <c r="AB22" s="35"/>
      <c r="AC22" s="56"/>
      <c r="AD22" s="56"/>
      <c r="AE22" s="48"/>
      <c r="AF22" s="56"/>
      <c r="AG22" s="56"/>
      <c r="AH22" s="48"/>
      <c r="AI22" s="56"/>
      <c r="AJ22" s="56"/>
      <c r="AK22" s="48"/>
      <c r="AL22" s="56"/>
      <c r="AM22" s="56"/>
      <c r="AN22" s="48"/>
      <c r="AO22" s="56"/>
      <c r="AP22" s="56"/>
      <c r="AQ22" s="48"/>
      <c r="AR22" s="56"/>
      <c r="AS22" s="56"/>
      <c r="AT22" s="48"/>
      <c r="AU22" s="56"/>
      <c r="AV22" s="56"/>
      <c r="AW22" s="48"/>
      <c r="AX22" s="56"/>
      <c r="AY22" s="56"/>
      <c r="AZ22" s="48"/>
      <c r="BA22" s="56"/>
      <c r="BB22" s="56"/>
      <c r="BC22" s="48"/>
      <c r="BD22" s="56"/>
      <c r="BE22" s="56"/>
      <c r="BF22" s="48"/>
      <c r="BG22" s="56"/>
      <c r="BH22" s="56"/>
      <c r="BI22" s="48"/>
      <c r="BJ22" s="56"/>
      <c r="BK22" s="56"/>
      <c r="BL22" s="48"/>
      <c r="BM22" s="56"/>
      <c r="BN22" s="56"/>
      <c r="BO22" s="48"/>
      <c r="BP22" s="56"/>
      <c r="BQ22" s="56"/>
      <c r="BR22" s="48"/>
      <c r="BS22" s="56"/>
      <c r="BT22" s="56"/>
      <c r="BU22" s="48"/>
      <c r="BV22" s="56"/>
      <c r="BW22" s="56"/>
      <c r="BX22" s="48"/>
      <c r="BY22" s="56"/>
      <c r="BZ22" s="56"/>
      <c r="CA22" s="48"/>
      <c r="CB22" s="56"/>
      <c r="CC22" s="56"/>
      <c r="CD22" s="48"/>
      <c r="CE22" s="56"/>
      <c r="CF22" s="56"/>
      <c r="CG22" s="48"/>
      <c r="CH22" s="56"/>
      <c r="CI22" s="56"/>
      <c r="CJ22" s="48"/>
      <c r="CK22" s="56"/>
      <c r="CL22" s="56"/>
      <c r="CM22" s="48"/>
      <c r="CN22" s="56"/>
      <c r="CO22" s="56"/>
      <c r="CP22" s="48"/>
      <c r="CQ22" s="56"/>
      <c r="CR22" s="56"/>
      <c r="CS22" s="48"/>
      <c r="CT22" s="56"/>
      <c r="CU22" s="56"/>
      <c r="CV22" s="48"/>
      <c r="CW22" s="56"/>
      <c r="CX22" s="56"/>
      <c r="CY22" s="48"/>
      <c r="CZ22" s="56"/>
      <c r="DA22" s="56"/>
      <c r="DB22" s="48"/>
      <c r="DC22" s="56"/>
      <c r="DD22" s="56"/>
      <c r="DE22" s="48"/>
      <c r="DF22" s="10"/>
      <c r="DG22" s="10"/>
      <c r="DH22" s="48"/>
      <c r="DI22" s="56"/>
      <c r="DJ22" s="56"/>
      <c r="DK22" s="48"/>
      <c r="DL22" s="56"/>
      <c r="DM22" s="56"/>
      <c r="DN22" s="48"/>
      <c r="DO22" s="56"/>
      <c r="DP22" s="56"/>
      <c r="DQ22" s="48"/>
      <c r="DR22" s="56"/>
      <c r="DS22" s="56"/>
      <c r="DT22" s="48"/>
      <c r="DU22" s="56"/>
      <c r="DV22" s="56"/>
      <c r="DW22" s="48"/>
      <c r="DX22" s="56"/>
      <c r="DY22" s="56"/>
      <c r="DZ22" s="48"/>
      <c r="EA22" s="56"/>
      <c r="EB22" s="56"/>
      <c r="EC22" s="48"/>
      <c r="ED22" s="56"/>
      <c r="EE22" s="56"/>
      <c r="EF22" s="48"/>
      <c r="EG22" s="56"/>
      <c r="EH22" s="56"/>
      <c r="EI22" s="48"/>
      <c r="EJ22" s="56"/>
      <c r="EK22" s="56"/>
      <c r="EL22" s="48"/>
      <c r="EM22" s="56"/>
      <c r="EN22" s="56"/>
      <c r="EO22" s="48"/>
      <c r="EP22" s="56"/>
      <c r="EQ22" s="56"/>
      <c r="ER22" s="48"/>
      <c r="ES22" s="56"/>
      <c r="ET22" s="56"/>
      <c r="EU22" s="48"/>
      <c r="EV22" s="56"/>
      <c r="EW22" s="56"/>
      <c r="EX22" s="48"/>
      <c r="EY22" s="56"/>
      <c r="EZ22" s="56"/>
      <c r="FA22" s="48"/>
      <c r="FB22" s="56"/>
      <c r="FC22" s="56"/>
      <c r="FD22" s="48"/>
      <c r="FE22" s="56"/>
      <c r="FF22" s="56"/>
      <c r="FG22" s="48"/>
      <c r="FH22" s="56"/>
      <c r="FI22" s="56"/>
      <c r="FJ22" s="48"/>
      <c r="FK22" s="56"/>
      <c r="FL22" s="56"/>
      <c r="FM22" s="48"/>
      <c r="FN22" s="56"/>
      <c r="FO22" s="56"/>
      <c r="FP22" s="48"/>
    </row>
    <row r="23" spans="1:217" x14ac:dyDescent="0.2">
      <c r="A23" s="6" t="s">
        <v>97</v>
      </c>
      <c r="B23" s="5">
        <v>142</v>
      </c>
      <c r="C23" s="58" t="s">
        <v>187</v>
      </c>
      <c r="D23" s="5">
        <v>0</v>
      </c>
      <c r="E23" s="5">
        <v>26.8</v>
      </c>
      <c r="F23" s="5">
        <v>54.7</v>
      </c>
      <c r="G23" s="53">
        <v>0.18055555555555555</v>
      </c>
      <c r="H23" s="23">
        <v>41737.798877314817</v>
      </c>
      <c r="I23" s="19">
        <v>41738.067418981482</v>
      </c>
      <c r="J23" s="35" t="s">
        <v>202</v>
      </c>
      <c r="K23" s="23">
        <v>41738.326122685183</v>
      </c>
      <c r="L23" s="19">
        <v>41738.603900462964</v>
      </c>
      <c r="M23" s="35" t="s">
        <v>203</v>
      </c>
      <c r="N23" s="23">
        <v>41738.851956018516</v>
      </c>
      <c r="O23" s="19">
        <v>41739</v>
      </c>
      <c r="P23" s="35" t="s">
        <v>204</v>
      </c>
      <c r="Q23" s="23"/>
      <c r="R23" s="19"/>
      <c r="S23" s="35"/>
      <c r="T23" s="23"/>
      <c r="U23" s="19"/>
      <c r="V23" s="35"/>
      <c r="W23" s="23"/>
      <c r="X23" s="19"/>
      <c r="Y23" s="35"/>
      <c r="Z23" s="24"/>
      <c r="AA23" s="12"/>
      <c r="AB23" s="35"/>
    </row>
    <row r="24" spans="1:217" x14ac:dyDescent="0.2">
      <c r="A24" s="6" t="s">
        <v>10</v>
      </c>
      <c r="B24" s="5">
        <v>142</v>
      </c>
      <c r="C24" s="58" t="s">
        <v>187</v>
      </c>
      <c r="D24" s="5">
        <v>0</v>
      </c>
      <c r="E24" s="5">
        <v>26.8</v>
      </c>
      <c r="F24" s="5">
        <v>56.930000000000007</v>
      </c>
      <c r="G24" s="53">
        <v>0.18819444444444444</v>
      </c>
      <c r="H24" s="23">
        <v>41737.801018518519</v>
      </c>
      <c r="I24" s="19">
        <v>41738.073784722219</v>
      </c>
      <c r="J24" s="35" t="s">
        <v>205</v>
      </c>
      <c r="K24" s="23">
        <v>41738.332094907404</v>
      </c>
      <c r="L24" s="19">
        <v>41738.610844907409</v>
      </c>
      <c r="M24" s="35" t="s">
        <v>206</v>
      </c>
      <c r="N24" s="23">
        <v>41738.857002314813</v>
      </c>
      <c r="O24" s="19">
        <v>41739</v>
      </c>
      <c r="P24" s="35" t="s">
        <v>207</v>
      </c>
      <c r="Q24" s="23"/>
      <c r="R24" s="19"/>
      <c r="S24" s="35"/>
      <c r="T24" s="54"/>
      <c r="U24" s="55"/>
      <c r="V24" s="35"/>
      <c r="W24" s="54"/>
      <c r="X24" s="55"/>
      <c r="Y24" s="35"/>
      <c r="Z24" s="54"/>
      <c r="AA24" s="55"/>
      <c r="AB24" s="35"/>
      <c r="AC24" s="56"/>
      <c r="AD24" s="56"/>
      <c r="AE24" s="48"/>
      <c r="AF24" s="56"/>
      <c r="AG24" s="56"/>
      <c r="AH24" s="48"/>
      <c r="AI24" s="56"/>
      <c r="AJ24" s="56"/>
      <c r="AK24" s="48"/>
      <c r="AL24" s="56"/>
      <c r="AM24" s="56"/>
      <c r="AN24" s="48"/>
      <c r="AO24" s="56"/>
      <c r="AP24" s="56"/>
      <c r="AQ24" s="48"/>
      <c r="AR24" s="56"/>
      <c r="AS24" s="56"/>
      <c r="AT24" s="48"/>
      <c r="AU24" s="56"/>
      <c r="AV24" s="56"/>
      <c r="AW24" s="48"/>
      <c r="AX24" s="56"/>
      <c r="AY24" s="56"/>
      <c r="AZ24" s="48"/>
      <c r="BA24" s="56"/>
      <c r="BB24" s="56"/>
      <c r="BC24" s="48"/>
      <c r="BD24" s="56"/>
      <c r="BE24" s="56"/>
      <c r="BF24" s="48"/>
      <c r="BG24" s="56"/>
      <c r="BH24" s="56"/>
      <c r="BI24" s="48"/>
      <c r="BJ24" s="56"/>
      <c r="BK24" s="56"/>
      <c r="BL24" s="48"/>
      <c r="BM24" s="56"/>
      <c r="BN24" s="56"/>
      <c r="BO24" s="48"/>
      <c r="BP24" s="56"/>
      <c r="BQ24" s="56"/>
      <c r="BR24" s="48"/>
      <c r="BS24" s="56"/>
      <c r="BT24" s="56"/>
      <c r="BU24" s="48"/>
      <c r="BV24" s="56"/>
      <c r="BW24" s="56"/>
      <c r="BX24" s="48"/>
      <c r="BY24" s="56"/>
      <c r="BZ24" s="56"/>
      <c r="CA24" s="48"/>
      <c r="CB24" s="56"/>
      <c r="CC24" s="56"/>
      <c r="CD24" s="48"/>
      <c r="CE24" s="56"/>
      <c r="CF24" s="56"/>
      <c r="CG24" s="48"/>
      <c r="CH24" s="56"/>
      <c r="CI24" s="56"/>
      <c r="CJ24" s="48"/>
      <c r="CK24" s="10"/>
      <c r="CL24" s="10"/>
      <c r="CM24" s="49"/>
      <c r="CN24" s="56"/>
      <c r="CO24" s="56"/>
      <c r="CP24" s="48"/>
      <c r="CQ24" s="56"/>
      <c r="CR24" s="56"/>
      <c r="CS24" s="48"/>
      <c r="CT24" s="56"/>
      <c r="CU24" s="56"/>
      <c r="CV24" s="48"/>
      <c r="CW24" s="56"/>
      <c r="CX24" s="56"/>
      <c r="CY24" s="48"/>
      <c r="CZ24" s="56"/>
      <c r="DA24" s="56"/>
      <c r="DB24" s="48"/>
      <c r="DC24" s="56"/>
      <c r="DD24" s="56"/>
      <c r="DE24" s="48"/>
      <c r="DF24" s="56"/>
      <c r="DG24" s="56"/>
      <c r="DH24" s="48"/>
      <c r="DI24" s="56"/>
      <c r="DJ24" s="56"/>
      <c r="DK24" s="48"/>
      <c r="DL24" s="56"/>
      <c r="DM24" s="56"/>
      <c r="DN24" s="48"/>
      <c r="DO24" s="56"/>
      <c r="DP24" s="56"/>
      <c r="DQ24" s="48"/>
      <c r="DR24" s="56"/>
      <c r="DS24" s="56"/>
      <c r="DT24" s="48"/>
      <c r="DU24" s="56"/>
      <c r="DV24" s="56"/>
      <c r="DW24" s="48"/>
      <c r="DX24" s="56"/>
      <c r="DY24" s="56"/>
      <c r="DZ24" s="48"/>
      <c r="EA24" s="56"/>
      <c r="EB24" s="56"/>
      <c r="EC24" s="48"/>
      <c r="ED24" s="56"/>
      <c r="EE24" s="56"/>
      <c r="EF24" s="48"/>
      <c r="EG24" s="56"/>
      <c r="EH24" s="56"/>
      <c r="EI24" s="48"/>
    </row>
    <row r="25" spans="1:217" x14ac:dyDescent="0.2">
      <c r="A25" s="6" t="s">
        <v>98</v>
      </c>
      <c r="B25" s="5">
        <v>143</v>
      </c>
      <c r="C25" s="58" t="s">
        <v>187</v>
      </c>
      <c r="D25" s="5">
        <v>0</v>
      </c>
      <c r="E25" s="5">
        <v>25.8</v>
      </c>
      <c r="F25" s="5">
        <v>58.490000000000009</v>
      </c>
      <c r="G25" s="53">
        <v>0.19375000000000001</v>
      </c>
      <c r="H25" s="23">
        <v>41737.797812500001</v>
      </c>
      <c r="I25" s="19">
        <v>41738.08253472222</v>
      </c>
      <c r="J25" s="35" t="s">
        <v>208</v>
      </c>
      <c r="K25" s="23">
        <v>41738.325648148151</v>
      </c>
      <c r="L25" s="19">
        <v>41738.618321759262</v>
      </c>
      <c r="M25" s="35" t="s">
        <v>209</v>
      </c>
      <c r="N25" s="23">
        <v>41738.849629629629</v>
      </c>
      <c r="O25" s="19">
        <v>41739</v>
      </c>
      <c r="P25" s="35" t="s">
        <v>210</v>
      </c>
      <c r="Q25" s="23"/>
      <c r="R25" s="19"/>
      <c r="S25" s="35"/>
      <c r="T25" s="54"/>
      <c r="U25" s="55"/>
      <c r="V25" s="35"/>
      <c r="W25" s="54"/>
      <c r="X25" s="55"/>
      <c r="Y25" s="35"/>
      <c r="Z25" s="54"/>
      <c r="AA25" s="55"/>
      <c r="AB25" s="35"/>
      <c r="AC25" s="56"/>
      <c r="AD25" s="56"/>
      <c r="AE25" s="48"/>
      <c r="AF25" s="56"/>
      <c r="AG25" s="56"/>
      <c r="AH25" s="48"/>
      <c r="AI25" s="56"/>
      <c r="AJ25" s="56"/>
      <c r="AK25" s="48"/>
      <c r="AL25" s="56"/>
      <c r="AM25" s="56"/>
      <c r="AN25" s="48"/>
      <c r="AO25" s="56"/>
      <c r="AP25" s="56"/>
      <c r="AQ25" s="48"/>
      <c r="AR25" s="56"/>
      <c r="AS25" s="56"/>
      <c r="AT25" s="48"/>
      <c r="AU25" s="56"/>
      <c r="AV25" s="56"/>
      <c r="AW25" s="48"/>
      <c r="AX25" s="56"/>
      <c r="AY25" s="56"/>
      <c r="AZ25" s="48"/>
      <c r="BA25" s="56"/>
      <c r="BB25" s="56"/>
      <c r="BC25" s="48"/>
      <c r="BD25" s="56"/>
      <c r="BE25" s="56"/>
      <c r="BF25" s="48"/>
      <c r="BG25" s="56"/>
      <c r="BH25" s="56"/>
      <c r="BI25" s="48"/>
      <c r="BJ25" s="56"/>
      <c r="BK25" s="56"/>
      <c r="BL25" s="48"/>
      <c r="BM25" s="56"/>
      <c r="BN25" s="56"/>
      <c r="BO25" s="48"/>
      <c r="BP25" s="56"/>
      <c r="BQ25" s="56"/>
      <c r="BR25" s="48"/>
      <c r="BS25" s="56"/>
      <c r="BT25" s="56"/>
      <c r="BU25" s="48"/>
      <c r="BV25" s="56"/>
      <c r="BW25" s="56"/>
      <c r="BX25" s="48"/>
      <c r="BY25" s="56"/>
      <c r="BZ25" s="56"/>
      <c r="CA25" s="48"/>
      <c r="CB25" s="56"/>
      <c r="CC25" s="56"/>
      <c r="CD25" s="48"/>
      <c r="CE25" s="56"/>
      <c r="CF25" s="56"/>
      <c r="CG25" s="48"/>
      <c r="CH25" s="56"/>
      <c r="CI25" s="56"/>
      <c r="CJ25" s="48"/>
      <c r="CK25" s="56"/>
      <c r="CL25" s="56"/>
      <c r="CM25" s="48"/>
      <c r="CN25" s="56"/>
      <c r="CO25" s="56"/>
      <c r="CP25" s="48"/>
      <c r="CQ25" s="56"/>
      <c r="CR25" s="56"/>
      <c r="CS25" s="48"/>
      <c r="CT25" s="56"/>
      <c r="CU25" s="56"/>
      <c r="CV25" s="48"/>
      <c r="CW25" s="56"/>
      <c r="CX25" s="56"/>
      <c r="CY25" s="48"/>
      <c r="CZ25" s="56"/>
      <c r="DA25" s="56"/>
      <c r="DB25" s="48"/>
      <c r="DC25" s="56"/>
      <c r="DD25" s="56"/>
      <c r="DE25" s="48"/>
      <c r="DF25" s="56"/>
      <c r="DG25" s="56"/>
      <c r="DH25" s="48"/>
      <c r="DI25" s="56"/>
      <c r="DJ25" s="56"/>
      <c r="DK25" s="48"/>
      <c r="DL25" s="56"/>
      <c r="DM25" s="56"/>
      <c r="DN25" s="48"/>
      <c r="DO25" s="56"/>
      <c r="DP25" s="56"/>
      <c r="DQ25" s="48"/>
      <c r="DR25" s="56"/>
      <c r="DS25" s="56"/>
      <c r="DT25" s="48"/>
      <c r="DU25" s="56"/>
      <c r="DV25" s="56"/>
      <c r="DW25" s="48"/>
      <c r="DX25" s="56"/>
      <c r="DY25" s="56"/>
      <c r="DZ25" s="48"/>
      <c r="EA25" s="56"/>
      <c r="EB25" s="56"/>
      <c r="EC25" s="48"/>
      <c r="ED25" s="56"/>
      <c r="EE25" s="56"/>
      <c r="EF25" s="48"/>
      <c r="EG25" s="56"/>
      <c r="EH25" s="56"/>
      <c r="EI25" s="48"/>
      <c r="EJ25" s="56"/>
      <c r="EK25" s="56"/>
      <c r="EL25" s="48"/>
      <c r="EM25" s="10"/>
      <c r="EN25" s="10"/>
      <c r="EO25" s="48"/>
      <c r="EP25" s="56"/>
      <c r="EQ25" s="56"/>
      <c r="ER25" s="48"/>
      <c r="ES25" s="56"/>
      <c r="ET25" s="56"/>
      <c r="EU25" s="48"/>
      <c r="EV25" s="56"/>
      <c r="EW25" s="56"/>
      <c r="EX25" s="48"/>
      <c r="EY25" s="56"/>
      <c r="EZ25" s="56"/>
      <c r="FA25" s="48"/>
      <c r="FB25" s="56"/>
      <c r="FC25" s="56"/>
      <c r="FD25" s="48"/>
      <c r="FE25" s="56"/>
      <c r="FF25" s="56"/>
      <c r="FG25" s="48"/>
      <c r="FH25" s="56"/>
      <c r="FI25" s="56"/>
      <c r="FJ25" s="48"/>
      <c r="FK25" s="56"/>
      <c r="FL25" s="56"/>
      <c r="FM25" s="48"/>
      <c r="FN25" s="56"/>
      <c r="FO25" s="56"/>
      <c r="FP25" s="48"/>
      <c r="FQ25" s="56"/>
      <c r="FR25" s="56"/>
      <c r="FS25" s="48"/>
      <c r="FT25" s="56"/>
      <c r="FU25" s="56"/>
      <c r="FV25" s="48"/>
      <c r="FW25" s="56"/>
      <c r="FX25" s="56"/>
      <c r="FY25" s="48"/>
      <c r="FZ25" s="56"/>
      <c r="GA25" s="56"/>
      <c r="GB25" s="48"/>
      <c r="GC25" s="56"/>
      <c r="GD25" s="56"/>
      <c r="GE25" s="48"/>
      <c r="GF25" s="56"/>
      <c r="GG25" s="56"/>
      <c r="GH25" s="48"/>
      <c r="GI25" s="56"/>
      <c r="GJ25" s="56"/>
      <c r="GK25" s="48"/>
      <c r="GL25" s="56"/>
      <c r="GM25" s="56"/>
      <c r="GN25" s="48"/>
      <c r="GO25" s="56"/>
      <c r="GP25" s="56"/>
      <c r="GQ25" s="48"/>
      <c r="GR25" s="56"/>
      <c r="GS25" s="56"/>
      <c r="GT25" s="48"/>
      <c r="GU25" s="56"/>
      <c r="GV25" s="56"/>
      <c r="GW25" s="48"/>
      <c r="GX25" s="56"/>
      <c r="GY25" s="56"/>
      <c r="GZ25" s="48"/>
      <c r="HA25" s="56"/>
      <c r="HB25" s="56"/>
      <c r="HC25" s="48"/>
      <c r="HD25" s="56"/>
      <c r="HE25" s="56"/>
      <c r="HF25" s="48"/>
      <c r="HG25" s="56"/>
      <c r="HH25" s="56"/>
      <c r="HI25" s="48"/>
    </row>
    <row r="26" spans="1:217" x14ac:dyDescent="0.2">
      <c r="A26" s="6" t="s">
        <v>19</v>
      </c>
      <c r="B26" s="5">
        <v>145</v>
      </c>
      <c r="C26" s="58" t="s">
        <v>187</v>
      </c>
      <c r="D26" s="5">
        <v>0</v>
      </c>
      <c r="E26" s="5">
        <v>23.8</v>
      </c>
      <c r="F26" s="5">
        <v>64.89</v>
      </c>
      <c r="G26" s="53">
        <v>0.21597222222222223</v>
      </c>
      <c r="H26" s="23">
        <v>41737.789641203701</v>
      </c>
      <c r="I26" s="19">
        <v>41738.105902777781</v>
      </c>
      <c r="J26" s="35" t="s">
        <v>211</v>
      </c>
      <c r="K26" s="23">
        <v>41738.319687499999</v>
      </c>
      <c r="L26" s="19">
        <v>41738.640763888892</v>
      </c>
      <c r="M26" s="35" t="s">
        <v>212</v>
      </c>
      <c r="N26" s="23">
        <v>41738.841608796298</v>
      </c>
      <c r="O26" s="19">
        <v>41739</v>
      </c>
      <c r="P26" s="35" t="s">
        <v>213</v>
      </c>
      <c r="Q26" s="23"/>
      <c r="R26" s="19"/>
      <c r="S26" s="35"/>
      <c r="T26" s="23"/>
      <c r="U26" s="19"/>
      <c r="V26" s="35"/>
      <c r="W26" s="23"/>
      <c r="X26" s="19"/>
      <c r="Y26" s="35"/>
      <c r="Z26" s="24"/>
      <c r="AA26" s="12"/>
      <c r="AB26" s="35"/>
    </row>
    <row r="27" spans="1:217" x14ac:dyDescent="0.2">
      <c r="A27" s="6" t="s">
        <v>18</v>
      </c>
      <c r="B27" s="5">
        <v>143</v>
      </c>
      <c r="C27" s="58" t="s">
        <v>187</v>
      </c>
      <c r="D27" s="5">
        <v>0</v>
      </c>
      <c r="E27" s="5">
        <v>25.8</v>
      </c>
      <c r="F27" s="5">
        <v>67.39</v>
      </c>
      <c r="G27" s="53">
        <v>0.22430555555555556</v>
      </c>
      <c r="H27" s="23">
        <v>41737.801018518519</v>
      </c>
      <c r="I27" s="19">
        <v>41738.100451388891</v>
      </c>
      <c r="J27" s="35" t="s">
        <v>198</v>
      </c>
      <c r="K27" s="23">
        <v>41738.334027777775</v>
      </c>
      <c r="L27" s="19">
        <v>41738.636157407411</v>
      </c>
      <c r="M27" s="35" t="s">
        <v>191</v>
      </c>
      <c r="N27" s="23">
        <v>41738.854409722226</v>
      </c>
      <c r="O27" s="19">
        <v>41739</v>
      </c>
      <c r="P27" s="35" t="s">
        <v>214</v>
      </c>
      <c r="Q27" s="23"/>
      <c r="R27" s="19"/>
      <c r="S27" s="35"/>
      <c r="T27" s="23"/>
      <c r="U27" s="19"/>
      <c r="V27" s="35"/>
      <c r="W27" s="23"/>
      <c r="X27" s="19"/>
      <c r="Y27" s="35"/>
      <c r="Z27" s="24"/>
      <c r="AA27" s="12"/>
      <c r="AB27" s="35"/>
    </row>
    <row r="28" spans="1:217" x14ac:dyDescent="0.2">
      <c r="A28" s="6" t="s">
        <v>23</v>
      </c>
      <c r="B28" s="5">
        <v>143</v>
      </c>
      <c r="C28" s="58" t="s">
        <v>187</v>
      </c>
      <c r="D28" s="5">
        <v>0</v>
      </c>
      <c r="E28" s="5">
        <v>25.8</v>
      </c>
      <c r="F28" s="5">
        <v>69.09</v>
      </c>
      <c r="G28" s="66">
        <v>0.23055555555555554</v>
      </c>
      <c r="H28" s="23">
        <v>41737.803819444445</v>
      </c>
      <c r="I28" s="19">
        <v>41738.109085648146</v>
      </c>
      <c r="J28" s="35" t="s">
        <v>201</v>
      </c>
      <c r="K28" s="23">
        <v>41738.34642361111</v>
      </c>
      <c r="L28" s="19">
        <v>41738.652511574073</v>
      </c>
      <c r="M28" s="35" t="s">
        <v>215</v>
      </c>
      <c r="N28" s="23">
        <v>41738.870266203703</v>
      </c>
      <c r="O28" s="19">
        <v>41739</v>
      </c>
      <c r="P28" s="35" t="s">
        <v>216</v>
      </c>
      <c r="Q28" s="23"/>
      <c r="R28" s="19"/>
      <c r="S28" s="35"/>
      <c r="T28" s="23"/>
      <c r="U28" s="19"/>
      <c r="V28" s="35"/>
      <c r="W28" s="23"/>
      <c r="X28" s="19"/>
      <c r="Y28" s="35"/>
      <c r="Z28" s="24"/>
      <c r="AA28" s="12"/>
      <c r="AB28" s="35"/>
    </row>
    <row r="29" spans="1:217" x14ac:dyDescent="0.2">
      <c r="A29" s="6" t="s">
        <v>13</v>
      </c>
      <c r="B29" s="5">
        <v>143</v>
      </c>
      <c r="C29" s="58" t="s">
        <v>217</v>
      </c>
      <c r="D29" s="5">
        <v>0</v>
      </c>
      <c r="E29" s="5">
        <v>22</v>
      </c>
      <c r="F29" s="5">
        <v>69.990000000000009</v>
      </c>
      <c r="G29" s="66">
        <v>0.23541666666666669</v>
      </c>
      <c r="H29" s="23">
        <v>41737.779166666667</v>
      </c>
      <c r="I29" s="19">
        <v>41738.131307870368</v>
      </c>
      <c r="J29" s="35" t="s">
        <v>218</v>
      </c>
      <c r="K29" s="30">
        <v>41738.326921296299</v>
      </c>
      <c r="L29" s="19">
        <v>41738.674872685187</v>
      </c>
      <c r="M29" s="35" t="s">
        <v>219</v>
      </c>
      <c r="N29" s="23">
        <v>41738.844328703701</v>
      </c>
      <c r="O29" s="19">
        <v>41739</v>
      </c>
      <c r="P29" s="35" t="s">
        <v>220</v>
      </c>
      <c r="Q29" s="23"/>
      <c r="R29" s="19"/>
      <c r="S29" s="35"/>
      <c r="T29" s="23"/>
      <c r="U29" s="19"/>
      <c r="V29" s="35"/>
      <c r="W29" s="23"/>
      <c r="X29" s="19"/>
      <c r="Y29" s="35"/>
      <c r="Z29" s="24"/>
      <c r="AA29" s="12"/>
      <c r="AB29" s="35"/>
    </row>
    <row r="30" spans="1:217" x14ac:dyDescent="0.2">
      <c r="A30" s="6" t="s">
        <v>99</v>
      </c>
      <c r="B30" s="5">
        <v>129</v>
      </c>
      <c r="C30" s="58" t="s">
        <v>217</v>
      </c>
      <c r="D30" s="5">
        <v>0</v>
      </c>
      <c r="E30" s="5">
        <v>36</v>
      </c>
      <c r="F30" s="5">
        <v>71.290000000000006</v>
      </c>
      <c r="G30" s="66">
        <v>0.24583333333333335</v>
      </c>
      <c r="H30" s="23">
        <v>41737.862847222219</v>
      </c>
      <c r="I30" s="19">
        <v>41738.050347222219</v>
      </c>
      <c r="J30" s="35" t="s">
        <v>221</v>
      </c>
      <c r="K30" s="23">
        <v>41738.400636574072</v>
      </c>
      <c r="L30" s="19">
        <v>41738.594699074078</v>
      </c>
      <c r="M30" s="35" t="s">
        <v>222</v>
      </c>
      <c r="N30" s="23">
        <v>41738.9375</v>
      </c>
      <c r="O30" s="19">
        <v>41739</v>
      </c>
      <c r="P30" s="35" t="s">
        <v>223</v>
      </c>
      <c r="Q30" s="23"/>
      <c r="R30" s="19"/>
      <c r="S30" s="35"/>
      <c r="T30" s="23"/>
      <c r="U30" s="19"/>
      <c r="V30" s="35"/>
      <c r="W30" s="23"/>
      <c r="X30" s="19"/>
      <c r="Y30" s="35"/>
      <c r="Z30" s="24"/>
      <c r="AA30" s="12"/>
      <c r="AB30" s="35"/>
    </row>
    <row r="31" spans="1:217" x14ac:dyDescent="0.2">
      <c r="A31" s="6" t="s">
        <v>100</v>
      </c>
      <c r="B31" s="5">
        <v>127</v>
      </c>
      <c r="C31" s="58" t="s">
        <v>217</v>
      </c>
      <c r="D31" s="5">
        <v>0</v>
      </c>
      <c r="E31" s="5">
        <v>38</v>
      </c>
      <c r="F31" s="5">
        <v>71.59</v>
      </c>
      <c r="G31" s="66">
        <v>0.24861111111111112</v>
      </c>
      <c r="H31" s="23">
        <v>41737.875</v>
      </c>
      <c r="I31" s="19">
        <v>41738.038460648146</v>
      </c>
      <c r="J31" s="35" t="s">
        <v>224</v>
      </c>
      <c r="K31" s="23">
        <v>41738.411215277774</v>
      </c>
      <c r="L31" s="19">
        <v>41738.582430555558</v>
      </c>
      <c r="M31" s="35" t="s">
        <v>225</v>
      </c>
      <c r="N31" s="23">
        <v>41738.949849537035</v>
      </c>
      <c r="O31" s="19">
        <v>41739</v>
      </c>
      <c r="P31" s="35" t="s">
        <v>226</v>
      </c>
      <c r="Q31" s="23"/>
      <c r="R31" s="19"/>
      <c r="S31" s="35"/>
      <c r="T31" s="23"/>
      <c r="U31" s="19"/>
      <c r="V31" s="35"/>
      <c r="W31" s="23"/>
      <c r="X31" s="19"/>
      <c r="Y31" s="35"/>
      <c r="Z31" s="24"/>
      <c r="AA31" s="12"/>
      <c r="AB31" s="35"/>
    </row>
    <row r="32" spans="1:217" x14ac:dyDescent="0.2">
      <c r="A32" s="6"/>
      <c r="B32" s="5"/>
      <c r="C32" s="58"/>
      <c r="D32" s="5"/>
      <c r="E32" s="5"/>
      <c r="F32" s="5"/>
      <c r="G32" s="66"/>
      <c r="H32" s="23"/>
      <c r="I32" s="19"/>
      <c r="J32" s="35"/>
      <c r="K32" s="23"/>
      <c r="L32" s="19"/>
      <c r="M32" s="35"/>
      <c r="N32" s="23"/>
      <c r="O32" s="19"/>
      <c r="P32" s="35"/>
      <c r="Q32" s="23"/>
      <c r="R32" s="19"/>
      <c r="S32" s="35"/>
      <c r="T32" s="23"/>
      <c r="U32" s="19"/>
      <c r="V32" s="35"/>
      <c r="W32" s="23"/>
      <c r="X32" s="19"/>
      <c r="Y32" s="35"/>
      <c r="Z32" s="24"/>
      <c r="AA32" s="12"/>
      <c r="AB32" s="35"/>
    </row>
    <row r="33" spans="1:28" x14ac:dyDescent="0.2">
      <c r="A33" s="6"/>
      <c r="B33" s="5"/>
      <c r="C33" s="58"/>
      <c r="D33" s="5"/>
      <c r="E33" s="5"/>
      <c r="F33" s="5"/>
      <c r="G33" s="66"/>
      <c r="H33" s="23"/>
      <c r="I33" s="19"/>
      <c r="J33" s="35"/>
      <c r="K33" s="23"/>
      <c r="L33" s="19"/>
      <c r="M33" s="35"/>
      <c r="N33" s="23"/>
      <c r="O33" s="19"/>
      <c r="P33" s="35"/>
      <c r="Q33" s="23"/>
      <c r="R33" s="19"/>
      <c r="S33" s="35"/>
      <c r="T33" s="23"/>
      <c r="U33" s="19"/>
      <c r="V33" s="35"/>
      <c r="W33" s="23"/>
      <c r="X33" s="19"/>
      <c r="Y33" s="35"/>
      <c r="Z33" s="24"/>
      <c r="AA33" s="12"/>
      <c r="AB33" s="35"/>
    </row>
    <row r="34" spans="1:28" x14ac:dyDescent="0.2">
      <c r="A34" s="6"/>
      <c r="B34" s="5"/>
      <c r="C34" s="58"/>
      <c r="D34" s="5"/>
      <c r="E34" s="5"/>
      <c r="F34" s="5"/>
      <c r="G34" s="5"/>
      <c r="H34" s="23"/>
      <c r="I34" s="19"/>
      <c r="J34" s="35"/>
      <c r="K34" s="23"/>
      <c r="L34" s="19"/>
      <c r="M34" s="35"/>
      <c r="N34" s="23"/>
      <c r="O34" s="19"/>
      <c r="P34" s="35"/>
      <c r="Q34" s="23"/>
      <c r="R34" s="19"/>
      <c r="S34" s="35"/>
      <c r="T34" s="23"/>
      <c r="U34" s="19"/>
      <c r="V34" s="35"/>
      <c r="W34" s="23"/>
      <c r="X34" s="19"/>
      <c r="Y34" s="35"/>
      <c r="Z34" s="24"/>
      <c r="AA34" s="12"/>
      <c r="AB34" s="35"/>
    </row>
    <row r="35" spans="1:28" x14ac:dyDescent="0.2">
      <c r="A35" s="6"/>
      <c r="B35" s="5"/>
      <c r="C35" s="58"/>
      <c r="D35" s="5"/>
      <c r="E35" s="5"/>
      <c r="F35" s="5"/>
      <c r="G35" s="5"/>
      <c r="H35" s="23"/>
      <c r="I35" s="19"/>
      <c r="J35" s="35"/>
      <c r="K35" s="23"/>
      <c r="L35" s="19"/>
      <c r="M35" s="35"/>
      <c r="N35" s="23"/>
      <c r="O35" s="19"/>
      <c r="P35" s="35"/>
      <c r="Q35" s="23"/>
      <c r="R35" s="19"/>
      <c r="S35" s="35"/>
      <c r="T35" s="23"/>
      <c r="U35" s="19"/>
      <c r="V35" s="35"/>
      <c r="W35" s="23"/>
      <c r="X35" s="19"/>
      <c r="Y35" s="35"/>
      <c r="Z35" s="24"/>
      <c r="AA35" s="12"/>
      <c r="AB35" s="35"/>
    </row>
    <row r="36" spans="1:28" x14ac:dyDescent="0.2">
      <c r="A36" s="6"/>
      <c r="B36" s="5"/>
      <c r="C36" s="58"/>
      <c r="D36" s="5"/>
      <c r="E36" s="5"/>
      <c r="F36" s="5"/>
      <c r="G36" s="5"/>
      <c r="H36" s="23"/>
      <c r="I36" s="19"/>
      <c r="J36" s="35"/>
      <c r="K36" s="23"/>
      <c r="L36" s="19"/>
      <c r="M36" s="35"/>
      <c r="N36" s="23"/>
      <c r="O36" s="19"/>
      <c r="P36" s="35"/>
      <c r="Q36" s="23"/>
      <c r="R36" s="19"/>
      <c r="S36" s="35"/>
      <c r="T36" s="23"/>
      <c r="U36" s="19"/>
      <c r="V36" s="35"/>
      <c r="W36" s="23"/>
      <c r="X36" s="19"/>
      <c r="Y36" s="35"/>
      <c r="Z36" s="24"/>
      <c r="AA36" s="12"/>
      <c r="AB36" s="35"/>
    </row>
    <row r="37" spans="1:28" x14ac:dyDescent="0.2">
      <c r="A37" s="6"/>
      <c r="B37" s="5"/>
      <c r="C37" s="58"/>
      <c r="D37" s="5"/>
      <c r="E37" s="5"/>
      <c r="F37" s="5"/>
      <c r="G37" s="5"/>
      <c r="H37" s="23"/>
      <c r="I37" s="19"/>
      <c r="J37" s="35"/>
      <c r="K37" s="23"/>
      <c r="L37" s="19"/>
      <c r="M37" s="35"/>
      <c r="N37" s="23"/>
      <c r="O37" s="19"/>
      <c r="P37" s="35"/>
      <c r="Q37" s="23"/>
      <c r="R37" s="19"/>
      <c r="S37" s="35"/>
      <c r="T37" s="23"/>
      <c r="U37" s="19"/>
      <c r="V37" s="35"/>
      <c r="W37" s="23"/>
      <c r="X37" s="19"/>
      <c r="Y37" s="35"/>
      <c r="Z37" s="24"/>
      <c r="AA37" s="12"/>
      <c r="AB37" s="35"/>
    </row>
    <row r="38" spans="1:28" x14ac:dyDescent="0.2">
      <c r="A38" s="6"/>
      <c r="B38" s="5"/>
      <c r="C38" s="58"/>
      <c r="D38" s="5"/>
      <c r="E38" s="5"/>
      <c r="F38" s="5"/>
      <c r="G38" s="5"/>
      <c r="H38" s="23"/>
      <c r="I38" s="19"/>
      <c r="J38" s="35"/>
      <c r="K38" s="23"/>
      <c r="L38" s="19"/>
      <c r="M38" s="35"/>
      <c r="N38" s="23"/>
      <c r="O38" s="19"/>
      <c r="P38" s="35"/>
      <c r="Q38" s="23"/>
      <c r="R38" s="19"/>
      <c r="S38" s="35"/>
      <c r="T38" s="23"/>
      <c r="U38" s="19"/>
      <c r="V38" s="35"/>
      <c r="W38" s="23"/>
      <c r="X38" s="19"/>
      <c r="Y38" s="35"/>
      <c r="Z38" s="24"/>
      <c r="AA38" s="12"/>
      <c r="AB38" s="35"/>
    </row>
    <row r="39" spans="1:28" x14ac:dyDescent="0.2">
      <c r="A39" s="6"/>
      <c r="B39" s="5"/>
      <c r="C39" s="58"/>
      <c r="D39" s="5"/>
      <c r="E39" s="5"/>
      <c r="F39" s="5"/>
      <c r="G39" s="5"/>
      <c r="H39" s="23"/>
      <c r="I39" s="19"/>
      <c r="J39" s="35"/>
      <c r="K39" s="23"/>
      <c r="L39" s="19"/>
      <c r="M39" s="35"/>
      <c r="N39" s="23"/>
      <c r="O39" s="19"/>
      <c r="P39" s="35"/>
      <c r="Q39" s="23"/>
      <c r="R39" s="19"/>
      <c r="S39" s="35"/>
      <c r="T39" s="23"/>
      <c r="U39" s="19"/>
      <c r="V39" s="35"/>
      <c r="W39" s="23"/>
      <c r="X39" s="19"/>
      <c r="Y39" s="35"/>
      <c r="Z39" s="24"/>
      <c r="AA39" s="12"/>
      <c r="AB39" s="35"/>
    </row>
  </sheetData>
  <dataConsolidate link="1"/>
  <mergeCells count="1">
    <mergeCell ref="H4:AB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/>
  <dimension ref="A1:AG100"/>
  <sheetViews>
    <sheetView showGridLines="0" zoomScale="115" zoomScaleNormal="115" workbookViewId="0">
      <selection activeCell="AG27" sqref="AG27"/>
    </sheetView>
  </sheetViews>
  <sheetFormatPr defaultRowHeight="12.75" x14ac:dyDescent="0.2"/>
  <cols>
    <col min="1" max="1" width="6.42578125" style="25" bestFit="1" customWidth="1"/>
    <col min="2" max="2" width="15.42578125" style="25" bestFit="1" customWidth="1"/>
    <col min="3" max="3" width="5" style="25" bestFit="1" customWidth="1"/>
    <col min="4" max="4" width="2.7109375" style="25" bestFit="1" customWidth="1"/>
    <col min="5" max="5" width="9.140625" style="25"/>
    <col min="6" max="6" width="15.42578125" style="25" bestFit="1" customWidth="1"/>
    <col min="7" max="7" width="5" style="25" bestFit="1" customWidth="1"/>
    <col min="8" max="8" width="2.7109375" style="25" bestFit="1" customWidth="1"/>
    <col min="9" max="13" width="9.140625" style="25"/>
    <col min="14" max="14" width="15.42578125" style="25" bestFit="1" customWidth="1"/>
    <col min="15" max="15" width="5" style="25" bestFit="1" customWidth="1"/>
    <col min="16" max="16" width="2.7109375" style="25" bestFit="1" customWidth="1"/>
    <col min="17" max="17" width="9.140625" style="25"/>
    <col min="18" max="18" width="15.42578125" style="25" bestFit="1" customWidth="1"/>
    <col min="19" max="19" width="5" style="25" bestFit="1" customWidth="1"/>
    <col min="20" max="20" width="2.7109375" style="25" bestFit="1" customWidth="1"/>
    <col min="21" max="21" width="9.140625" style="25"/>
    <col min="22" max="22" width="15.42578125" style="25" bestFit="1" customWidth="1"/>
    <col min="23" max="23" width="5" style="25" bestFit="1" customWidth="1"/>
    <col min="24" max="24" width="2.7109375" style="25" bestFit="1" customWidth="1"/>
    <col min="25" max="25" width="9.140625" style="25"/>
    <col min="26" max="26" width="15.5703125" style="25" bestFit="1" customWidth="1"/>
    <col min="27" max="27" width="5" style="25" bestFit="1" customWidth="1"/>
    <col min="28" max="28" width="2.7109375" style="25" bestFit="1" customWidth="1"/>
    <col min="29" max="29" width="9.140625" style="25"/>
    <col min="30" max="30" width="17.28515625" style="25" bestFit="1" customWidth="1"/>
    <col min="31" max="31" width="5" style="25" bestFit="1" customWidth="1"/>
    <col min="32" max="32" width="2.7109375" style="25" bestFit="1" customWidth="1"/>
    <col min="33" max="16384" width="9.140625" style="25"/>
  </cols>
  <sheetData>
    <row r="1" spans="1:33" s="51" customFormat="1" x14ac:dyDescent="0.2">
      <c r="A1" s="50" t="s">
        <v>38</v>
      </c>
    </row>
    <row r="2" spans="1:33" s="51" customFormat="1" x14ac:dyDescent="0.2">
      <c r="A2" s="50" t="s">
        <v>40</v>
      </c>
    </row>
    <row r="3" spans="1:33" s="27" customFormat="1" x14ac:dyDescent="0.2">
      <c r="A3" s="26" t="s">
        <v>31</v>
      </c>
      <c r="B3" s="27" t="s">
        <v>135</v>
      </c>
      <c r="F3" s="27" t="s">
        <v>148</v>
      </c>
      <c r="J3" s="27" t="s">
        <v>149</v>
      </c>
      <c r="N3" s="27" t="s">
        <v>150</v>
      </c>
      <c r="R3" s="96" t="s">
        <v>151</v>
      </c>
      <c r="S3" s="96"/>
      <c r="T3" s="96"/>
      <c r="U3" s="96"/>
      <c r="V3" s="27" t="s">
        <v>156</v>
      </c>
      <c r="Z3" s="96" t="s">
        <v>157</v>
      </c>
      <c r="AA3" s="96"/>
      <c r="AB3" s="96"/>
      <c r="AC3" s="96"/>
      <c r="AD3" s="27" t="s">
        <v>159</v>
      </c>
    </row>
    <row r="4" spans="1:33" s="27" customFormat="1" x14ac:dyDescent="0.2">
      <c r="B4" s="27" t="s">
        <v>70</v>
      </c>
      <c r="C4" s="27" t="s">
        <v>71</v>
      </c>
      <c r="E4" s="27" t="s">
        <v>73</v>
      </c>
      <c r="F4" s="27" t="s">
        <v>70</v>
      </c>
      <c r="G4" s="27" t="s">
        <v>71</v>
      </c>
      <c r="I4" s="27" t="s">
        <v>73</v>
      </c>
      <c r="J4" s="27" t="s">
        <v>70</v>
      </c>
      <c r="K4" s="27" t="s">
        <v>71</v>
      </c>
      <c r="M4" s="27" t="s">
        <v>73</v>
      </c>
      <c r="N4" s="27" t="s">
        <v>70</v>
      </c>
      <c r="O4" s="27" t="s">
        <v>71</v>
      </c>
      <c r="Q4" s="27" t="s">
        <v>73</v>
      </c>
      <c r="R4" s="96" t="s">
        <v>70</v>
      </c>
      <c r="S4" s="96" t="s">
        <v>71</v>
      </c>
      <c r="T4" s="96"/>
      <c r="U4" s="96" t="s">
        <v>73</v>
      </c>
      <c r="V4" s="27" t="s">
        <v>70</v>
      </c>
      <c r="W4" s="27" t="s">
        <v>71</v>
      </c>
      <c r="Y4" s="27" t="s">
        <v>73</v>
      </c>
      <c r="Z4" s="96" t="s">
        <v>70</v>
      </c>
      <c r="AA4" s="96" t="s">
        <v>71</v>
      </c>
      <c r="AB4" s="96"/>
      <c r="AC4" s="96" t="s">
        <v>73</v>
      </c>
      <c r="AD4" s="27" t="s">
        <v>70</v>
      </c>
      <c r="AE4" s="27" t="s">
        <v>71</v>
      </c>
      <c r="AG4" s="27" t="s">
        <v>73</v>
      </c>
    </row>
    <row r="5" spans="1:33" x14ac:dyDescent="0.2">
      <c r="A5" s="157" t="s">
        <v>39</v>
      </c>
      <c r="B5" s="25" t="s">
        <v>90</v>
      </c>
      <c r="C5" s="25">
        <v>15</v>
      </c>
      <c r="D5" s="25" t="s">
        <v>72</v>
      </c>
      <c r="E5" s="25" t="s">
        <v>74</v>
      </c>
      <c r="F5" s="25" t="s">
        <v>90</v>
      </c>
      <c r="G5" s="25">
        <v>15</v>
      </c>
      <c r="H5" s="25" t="s">
        <v>72</v>
      </c>
      <c r="I5" s="25" t="s">
        <v>74</v>
      </c>
      <c r="J5" s="25" t="s">
        <v>16</v>
      </c>
      <c r="K5" s="25">
        <v>10</v>
      </c>
      <c r="L5" s="25" t="s">
        <v>72</v>
      </c>
      <c r="M5" s="25" t="s">
        <v>75</v>
      </c>
      <c r="N5" s="25" t="s">
        <v>100</v>
      </c>
      <c r="O5" s="25">
        <v>10</v>
      </c>
      <c r="P5" s="25" t="s">
        <v>72</v>
      </c>
      <c r="Q5" s="25" t="s">
        <v>76</v>
      </c>
      <c r="R5" s="97" t="s">
        <v>12</v>
      </c>
      <c r="S5" s="97">
        <v>10</v>
      </c>
      <c r="T5" s="97" t="s">
        <v>72</v>
      </c>
      <c r="U5" s="97" t="s">
        <v>76</v>
      </c>
      <c r="V5" s="25" t="s">
        <v>90</v>
      </c>
      <c r="W5" s="25">
        <v>15</v>
      </c>
      <c r="X5" s="25" t="s">
        <v>72</v>
      </c>
      <c r="Y5" s="25" t="s">
        <v>74</v>
      </c>
      <c r="Z5" s="97" t="s">
        <v>105</v>
      </c>
      <c r="AA5" s="97">
        <v>10</v>
      </c>
      <c r="AB5" s="97" t="s">
        <v>72</v>
      </c>
      <c r="AC5" s="97" t="s">
        <v>76</v>
      </c>
      <c r="AD5" s="25" t="s">
        <v>90</v>
      </c>
      <c r="AE5" s="25">
        <v>15</v>
      </c>
      <c r="AF5" s="25" t="s">
        <v>72</v>
      </c>
      <c r="AG5" s="25" t="s">
        <v>74</v>
      </c>
    </row>
    <row r="6" spans="1:33" x14ac:dyDescent="0.2">
      <c r="A6" s="157"/>
      <c r="B6" s="25" t="s">
        <v>91</v>
      </c>
      <c r="C6" s="25">
        <v>15</v>
      </c>
      <c r="D6" s="25" t="s">
        <v>72</v>
      </c>
      <c r="E6" s="25" t="s">
        <v>74</v>
      </c>
      <c r="F6" s="25" t="s">
        <v>91</v>
      </c>
      <c r="G6" s="25">
        <v>15</v>
      </c>
      <c r="H6" s="25" t="s">
        <v>72</v>
      </c>
      <c r="I6" s="25" t="s">
        <v>74</v>
      </c>
      <c r="J6" s="25" t="s">
        <v>11</v>
      </c>
      <c r="K6" s="25">
        <v>12.5</v>
      </c>
      <c r="L6" s="25" t="s">
        <v>72</v>
      </c>
      <c r="M6" s="25" t="s">
        <v>75</v>
      </c>
      <c r="N6" s="25" t="s">
        <v>99</v>
      </c>
      <c r="O6" s="25">
        <v>10</v>
      </c>
      <c r="P6" s="25" t="s">
        <v>72</v>
      </c>
      <c r="Q6" s="25" t="s">
        <v>76</v>
      </c>
      <c r="R6" s="97" t="s">
        <v>104</v>
      </c>
      <c r="S6" s="97">
        <v>10</v>
      </c>
      <c r="T6" s="97" t="s">
        <v>72</v>
      </c>
      <c r="U6" s="97" t="s">
        <v>76</v>
      </c>
      <c r="V6" s="25" t="s">
        <v>91</v>
      </c>
      <c r="W6" s="25">
        <v>15</v>
      </c>
      <c r="X6" s="25" t="s">
        <v>72</v>
      </c>
      <c r="Y6" s="25" t="s">
        <v>74</v>
      </c>
      <c r="Z6" s="97" t="s">
        <v>104</v>
      </c>
      <c r="AA6" s="97">
        <v>10</v>
      </c>
      <c r="AB6" s="97" t="s">
        <v>72</v>
      </c>
      <c r="AC6" s="97" t="s">
        <v>76</v>
      </c>
      <c r="AD6" s="25" t="s">
        <v>91</v>
      </c>
      <c r="AE6" s="25">
        <v>15</v>
      </c>
      <c r="AF6" s="25" t="s">
        <v>72</v>
      </c>
      <c r="AG6" s="25" t="s">
        <v>74</v>
      </c>
    </row>
    <row r="7" spans="1:33" x14ac:dyDescent="0.2">
      <c r="A7" s="157"/>
      <c r="B7" s="25" t="s">
        <v>92</v>
      </c>
      <c r="C7" s="25">
        <v>15</v>
      </c>
      <c r="D7" s="25" t="s">
        <v>72</v>
      </c>
      <c r="E7" s="25" t="s">
        <v>74</v>
      </c>
      <c r="F7" s="25" t="s">
        <v>92</v>
      </c>
      <c r="G7" s="25">
        <v>15</v>
      </c>
      <c r="H7" s="25" t="s">
        <v>72</v>
      </c>
      <c r="I7" s="25" t="s">
        <v>74</v>
      </c>
      <c r="J7" s="25" t="s">
        <v>15</v>
      </c>
      <c r="K7" s="25">
        <v>12.5</v>
      </c>
      <c r="L7" s="25" t="s">
        <v>72</v>
      </c>
      <c r="M7" s="25" t="s">
        <v>75</v>
      </c>
      <c r="N7" s="25" t="s">
        <v>13</v>
      </c>
      <c r="O7" s="25">
        <v>10</v>
      </c>
      <c r="P7" s="25" t="s">
        <v>72</v>
      </c>
      <c r="Q7" s="25" t="s">
        <v>76</v>
      </c>
      <c r="R7" s="97" t="s">
        <v>103</v>
      </c>
      <c r="S7" s="97">
        <v>10</v>
      </c>
      <c r="T7" s="97" t="s">
        <v>72</v>
      </c>
      <c r="U7" s="97" t="s">
        <v>76</v>
      </c>
      <c r="V7" s="25" t="s">
        <v>92</v>
      </c>
      <c r="W7" s="25">
        <v>15</v>
      </c>
      <c r="X7" s="25" t="s">
        <v>72</v>
      </c>
      <c r="Y7" s="25" t="s">
        <v>74</v>
      </c>
      <c r="Z7" s="97" t="s">
        <v>103</v>
      </c>
      <c r="AA7" s="97">
        <v>10</v>
      </c>
      <c r="AB7" s="97" t="s">
        <v>72</v>
      </c>
      <c r="AC7" s="97" t="s">
        <v>76</v>
      </c>
      <c r="AD7" s="25" t="s">
        <v>92</v>
      </c>
      <c r="AE7" s="25">
        <v>15</v>
      </c>
      <c r="AF7" s="25" t="s">
        <v>72</v>
      </c>
      <c r="AG7" s="25" t="s">
        <v>74</v>
      </c>
    </row>
    <row r="8" spans="1:33" x14ac:dyDescent="0.2">
      <c r="A8" s="157"/>
      <c r="B8" s="25" t="s">
        <v>93</v>
      </c>
      <c r="C8" s="25">
        <v>15</v>
      </c>
      <c r="D8" s="25" t="s">
        <v>72</v>
      </c>
      <c r="E8" s="25" t="s">
        <v>74</v>
      </c>
      <c r="F8" s="25" t="s">
        <v>93</v>
      </c>
      <c r="G8" s="25">
        <v>15</v>
      </c>
      <c r="H8" s="25" t="s">
        <v>72</v>
      </c>
      <c r="I8" s="25" t="s">
        <v>74</v>
      </c>
      <c r="J8" s="25" t="s">
        <v>14</v>
      </c>
      <c r="K8" s="25">
        <v>12.5</v>
      </c>
      <c r="L8" s="25" t="s">
        <v>72</v>
      </c>
      <c r="M8" s="25" t="s">
        <v>75</v>
      </c>
      <c r="N8" s="25" t="s">
        <v>23</v>
      </c>
      <c r="O8" s="25">
        <v>12.5</v>
      </c>
      <c r="P8" s="25" t="s">
        <v>72</v>
      </c>
      <c r="Q8" s="25" t="s">
        <v>23</v>
      </c>
      <c r="R8" s="97" t="s">
        <v>13</v>
      </c>
      <c r="S8" s="97">
        <v>10</v>
      </c>
      <c r="T8" s="97" t="s">
        <v>72</v>
      </c>
      <c r="U8" s="97" t="s">
        <v>76</v>
      </c>
      <c r="V8" s="25" t="s">
        <v>93</v>
      </c>
      <c r="W8" s="25">
        <v>15</v>
      </c>
      <c r="X8" s="25" t="s">
        <v>72</v>
      </c>
      <c r="Y8" s="25" t="s">
        <v>74</v>
      </c>
      <c r="Z8" s="97" t="s">
        <v>101</v>
      </c>
      <c r="AA8" s="97">
        <v>10</v>
      </c>
      <c r="AB8" s="97" t="s">
        <v>72</v>
      </c>
      <c r="AC8" s="97" t="s">
        <v>76</v>
      </c>
      <c r="AD8" s="25" t="s">
        <v>93</v>
      </c>
      <c r="AE8" s="25">
        <v>15</v>
      </c>
      <c r="AF8" s="25" t="s">
        <v>72</v>
      </c>
      <c r="AG8" s="25" t="s">
        <v>74</v>
      </c>
    </row>
    <row r="9" spans="1:33" x14ac:dyDescent="0.2">
      <c r="A9" s="157"/>
      <c r="B9" s="25" t="s">
        <v>66</v>
      </c>
      <c r="C9" s="25">
        <v>15</v>
      </c>
      <c r="D9" s="25" t="s">
        <v>72</v>
      </c>
      <c r="E9" s="25" t="s">
        <v>74</v>
      </c>
      <c r="F9" s="25" t="s">
        <v>66</v>
      </c>
      <c r="G9" s="25">
        <v>15</v>
      </c>
      <c r="H9" s="25" t="s">
        <v>72</v>
      </c>
      <c r="I9" s="25" t="s">
        <v>74</v>
      </c>
      <c r="J9" s="25" t="s">
        <v>20</v>
      </c>
      <c r="K9" s="25">
        <v>12.5</v>
      </c>
      <c r="L9" s="25" t="s">
        <v>72</v>
      </c>
      <c r="M9" s="25" t="s">
        <v>75</v>
      </c>
      <c r="N9" s="25" t="s">
        <v>18</v>
      </c>
      <c r="O9" s="25">
        <v>12.5</v>
      </c>
      <c r="P9" s="25" t="s">
        <v>72</v>
      </c>
      <c r="Q9" s="95" t="s">
        <v>75</v>
      </c>
      <c r="R9" s="97" t="s">
        <v>23</v>
      </c>
      <c r="S9" s="97">
        <v>12.5</v>
      </c>
      <c r="T9" s="97" t="s">
        <v>72</v>
      </c>
      <c r="U9" s="97" t="s">
        <v>23</v>
      </c>
      <c r="V9" s="25" t="s">
        <v>66</v>
      </c>
      <c r="W9" s="25">
        <v>15</v>
      </c>
      <c r="X9" s="25" t="s">
        <v>72</v>
      </c>
      <c r="Y9" s="25" t="s">
        <v>74</v>
      </c>
      <c r="Z9" s="97" t="s">
        <v>100</v>
      </c>
      <c r="AA9" s="97">
        <v>10</v>
      </c>
      <c r="AB9" s="97" t="s">
        <v>72</v>
      </c>
      <c r="AC9" s="97" t="s">
        <v>76</v>
      </c>
      <c r="AD9" s="25" t="s">
        <v>66</v>
      </c>
      <c r="AE9" s="25">
        <v>15</v>
      </c>
      <c r="AF9" s="25" t="s">
        <v>72</v>
      </c>
      <c r="AG9" s="25" t="s">
        <v>74</v>
      </c>
    </row>
    <row r="10" spans="1:33" x14ac:dyDescent="0.2">
      <c r="A10" s="157"/>
      <c r="B10" s="25" t="s">
        <v>65</v>
      </c>
      <c r="C10" s="25">
        <v>15</v>
      </c>
      <c r="D10" s="25" t="s">
        <v>72</v>
      </c>
      <c r="E10" s="25" t="s">
        <v>74</v>
      </c>
      <c r="F10" s="25" t="s">
        <v>65</v>
      </c>
      <c r="G10" s="25">
        <v>15</v>
      </c>
      <c r="H10" s="25" t="s">
        <v>72</v>
      </c>
      <c r="I10" s="25" t="s">
        <v>74</v>
      </c>
      <c r="J10" s="25" t="s">
        <v>97</v>
      </c>
      <c r="K10" s="25">
        <v>12.5</v>
      </c>
      <c r="L10" s="25" t="s">
        <v>72</v>
      </c>
      <c r="M10" s="25" t="s">
        <v>75</v>
      </c>
      <c r="N10" s="25" t="s">
        <v>19</v>
      </c>
      <c r="O10" s="25">
        <v>12.5</v>
      </c>
      <c r="P10" s="25" t="s">
        <v>72</v>
      </c>
      <c r="Q10" s="25" t="s">
        <v>75</v>
      </c>
      <c r="R10" s="97" t="s">
        <v>18</v>
      </c>
      <c r="S10" s="97">
        <v>12.5</v>
      </c>
      <c r="T10" s="97" t="s">
        <v>72</v>
      </c>
      <c r="U10" s="97" t="s">
        <v>75</v>
      </c>
      <c r="V10" s="25" t="s">
        <v>65</v>
      </c>
      <c r="W10" s="25">
        <v>15</v>
      </c>
      <c r="X10" s="25" t="s">
        <v>72</v>
      </c>
      <c r="Y10" s="25" t="s">
        <v>74</v>
      </c>
      <c r="Z10" s="97" t="s">
        <v>99</v>
      </c>
      <c r="AA10" s="97">
        <v>10</v>
      </c>
      <c r="AB10" s="97" t="s">
        <v>72</v>
      </c>
      <c r="AC10" s="97" t="s">
        <v>76</v>
      </c>
      <c r="AD10" s="25" t="s">
        <v>65</v>
      </c>
      <c r="AE10" s="25">
        <v>15</v>
      </c>
      <c r="AF10" s="25" t="s">
        <v>72</v>
      </c>
      <c r="AG10" s="25" t="s">
        <v>74</v>
      </c>
    </row>
    <row r="11" spans="1:33" x14ac:dyDescent="0.2">
      <c r="A11" s="157"/>
      <c r="B11" s="25" t="s">
        <v>64</v>
      </c>
      <c r="C11" s="25">
        <v>15</v>
      </c>
      <c r="D11" s="25" t="s">
        <v>72</v>
      </c>
      <c r="E11" s="25" t="s">
        <v>74</v>
      </c>
      <c r="F11" s="25" t="s">
        <v>64</v>
      </c>
      <c r="G11" s="25">
        <v>15</v>
      </c>
      <c r="H11" s="25" t="s">
        <v>72</v>
      </c>
      <c r="I11" s="25" t="s">
        <v>74</v>
      </c>
      <c r="J11" s="25" t="s">
        <v>10</v>
      </c>
      <c r="K11" s="25">
        <v>12.5</v>
      </c>
      <c r="L11" s="25" t="s">
        <v>72</v>
      </c>
      <c r="M11" s="25" t="s">
        <v>75</v>
      </c>
      <c r="N11" s="25" t="s">
        <v>98</v>
      </c>
      <c r="O11" s="25">
        <v>12.5</v>
      </c>
      <c r="P11" s="25" t="s">
        <v>72</v>
      </c>
      <c r="Q11" s="25" t="s">
        <v>75</v>
      </c>
      <c r="R11" s="97" t="s">
        <v>19</v>
      </c>
      <c r="S11" s="97">
        <v>12.5</v>
      </c>
      <c r="T11" s="97" t="s">
        <v>72</v>
      </c>
      <c r="U11" s="97" t="s">
        <v>75</v>
      </c>
      <c r="V11" s="25" t="s">
        <v>64</v>
      </c>
      <c r="W11" s="25">
        <v>15</v>
      </c>
      <c r="X11" s="25" t="s">
        <v>72</v>
      </c>
      <c r="Y11" s="25" t="s">
        <v>74</v>
      </c>
      <c r="Z11" s="97" t="s">
        <v>102</v>
      </c>
      <c r="AA11" s="97">
        <v>10</v>
      </c>
      <c r="AB11" s="97" t="s">
        <v>72</v>
      </c>
      <c r="AC11" s="97" t="s">
        <v>76</v>
      </c>
      <c r="AD11" s="25" t="s">
        <v>64</v>
      </c>
      <c r="AE11" s="25">
        <v>15</v>
      </c>
      <c r="AF11" s="25" t="s">
        <v>72</v>
      </c>
      <c r="AG11" s="25" t="s">
        <v>74</v>
      </c>
    </row>
    <row r="12" spans="1:33" x14ac:dyDescent="0.2">
      <c r="A12" s="157"/>
      <c r="B12" s="25" t="s">
        <v>94</v>
      </c>
      <c r="C12" s="25">
        <v>15</v>
      </c>
      <c r="D12" s="25" t="s">
        <v>72</v>
      </c>
      <c r="E12" s="25" t="s">
        <v>74</v>
      </c>
      <c r="F12" s="25" t="s">
        <v>94</v>
      </c>
      <c r="G12" s="25">
        <v>15</v>
      </c>
      <c r="H12" s="25" t="s">
        <v>72</v>
      </c>
      <c r="I12" s="25" t="s">
        <v>74</v>
      </c>
      <c r="J12" s="25" t="s">
        <v>98</v>
      </c>
      <c r="K12" s="25">
        <v>12.5</v>
      </c>
      <c r="L12" s="25" t="s">
        <v>72</v>
      </c>
      <c r="M12" s="25" t="s">
        <v>75</v>
      </c>
      <c r="N12" s="25" t="s">
        <v>10</v>
      </c>
      <c r="O12" s="25">
        <v>12.5</v>
      </c>
      <c r="P12" s="25" t="s">
        <v>72</v>
      </c>
      <c r="Q12" s="25" t="s">
        <v>75</v>
      </c>
      <c r="R12" s="97" t="s">
        <v>98</v>
      </c>
      <c r="S12" s="97">
        <v>12.5</v>
      </c>
      <c r="T12" s="97" t="s">
        <v>72</v>
      </c>
      <c r="U12" s="97" t="s">
        <v>75</v>
      </c>
      <c r="V12" s="25" t="s">
        <v>94</v>
      </c>
      <c r="W12" s="25">
        <v>15</v>
      </c>
      <c r="X12" s="25" t="s">
        <v>72</v>
      </c>
      <c r="Y12" s="25" t="s">
        <v>74</v>
      </c>
      <c r="Z12" s="97" t="s">
        <v>13</v>
      </c>
      <c r="AA12" s="97">
        <v>10</v>
      </c>
      <c r="AB12" s="97" t="s">
        <v>72</v>
      </c>
      <c r="AC12" s="97" t="s">
        <v>76</v>
      </c>
      <c r="AD12" s="25" t="s">
        <v>94</v>
      </c>
      <c r="AE12" s="25">
        <v>15</v>
      </c>
      <c r="AF12" s="25" t="s">
        <v>72</v>
      </c>
      <c r="AG12" s="25" t="s">
        <v>74</v>
      </c>
    </row>
    <row r="13" spans="1:33" x14ac:dyDescent="0.2">
      <c r="A13" s="157"/>
      <c r="B13" s="25" t="s">
        <v>63</v>
      </c>
      <c r="C13" s="25">
        <v>15</v>
      </c>
      <c r="D13" s="25" t="s">
        <v>72</v>
      </c>
      <c r="E13" s="25" t="s">
        <v>74</v>
      </c>
      <c r="F13" s="25" t="s">
        <v>63</v>
      </c>
      <c r="G13" s="25">
        <v>15</v>
      </c>
      <c r="H13" s="25" t="s">
        <v>72</v>
      </c>
      <c r="I13" s="25" t="s">
        <v>74</v>
      </c>
      <c r="J13" s="25" t="s">
        <v>19</v>
      </c>
      <c r="K13" s="25">
        <v>12.5</v>
      </c>
      <c r="L13" s="25" t="s">
        <v>72</v>
      </c>
      <c r="M13" s="25" t="s">
        <v>75</v>
      </c>
      <c r="N13" s="25" t="s">
        <v>97</v>
      </c>
      <c r="O13" s="25">
        <v>12.5</v>
      </c>
      <c r="P13" s="25" t="s">
        <v>72</v>
      </c>
      <c r="Q13" s="25" t="s">
        <v>75</v>
      </c>
      <c r="R13" s="97" t="s">
        <v>10</v>
      </c>
      <c r="S13" s="97">
        <v>12.5</v>
      </c>
      <c r="T13" s="97" t="s">
        <v>72</v>
      </c>
      <c r="U13" s="97" t="s">
        <v>75</v>
      </c>
      <c r="V13" s="25" t="s">
        <v>63</v>
      </c>
      <c r="W13" s="25">
        <v>15</v>
      </c>
      <c r="X13" s="25" t="s">
        <v>72</v>
      </c>
      <c r="Y13" s="25" t="s">
        <v>74</v>
      </c>
      <c r="Z13" s="97" t="s">
        <v>23</v>
      </c>
      <c r="AA13" s="97">
        <v>12.5</v>
      </c>
      <c r="AB13" s="97" t="s">
        <v>72</v>
      </c>
      <c r="AC13" s="97" t="s">
        <v>23</v>
      </c>
      <c r="AD13" s="25" t="s">
        <v>63</v>
      </c>
      <c r="AE13" s="25">
        <v>15</v>
      </c>
      <c r="AF13" s="25" t="s">
        <v>72</v>
      </c>
      <c r="AG13" s="25" t="s">
        <v>74</v>
      </c>
    </row>
    <row r="14" spans="1:33" x14ac:dyDescent="0.2">
      <c r="A14" s="157"/>
      <c r="B14" s="25" t="s">
        <v>95</v>
      </c>
      <c r="C14" s="25">
        <v>15</v>
      </c>
      <c r="D14" s="25" t="s">
        <v>72</v>
      </c>
      <c r="E14" s="25" t="s">
        <v>74</v>
      </c>
      <c r="F14" s="25" t="s">
        <v>95</v>
      </c>
      <c r="G14" s="25">
        <v>15</v>
      </c>
      <c r="H14" s="25" t="s">
        <v>72</v>
      </c>
      <c r="I14" s="25" t="s">
        <v>74</v>
      </c>
      <c r="J14" s="25" t="s">
        <v>18</v>
      </c>
      <c r="K14" s="25">
        <v>12.5</v>
      </c>
      <c r="L14" s="25" t="s">
        <v>72</v>
      </c>
      <c r="M14" s="25" t="s">
        <v>75</v>
      </c>
      <c r="N14" s="25" t="s">
        <v>20</v>
      </c>
      <c r="O14" s="25">
        <v>12.5</v>
      </c>
      <c r="P14" s="25" t="s">
        <v>72</v>
      </c>
      <c r="Q14" s="25" t="s">
        <v>75</v>
      </c>
      <c r="R14" s="97" t="s">
        <v>97</v>
      </c>
      <c r="S14" s="97">
        <v>12.5</v>
      </c>
      <c r="T14" s="97" t="s">
        <v>72</v>
      </c>
      <c r="U14" s="97" t="s">
        <v>75</v>
      </c>
      <c r="V14" s="25" t="s">
        <v>95</v>
      </c>
      <c r="W14" s="25">
        <v>15</v>
      </c>
      <c r="X14" s="25" t="s">
        <v>72</v>
      </c>
      <c r="Y14" s="25" t="s">
        <v>74</v>
      </c>
      <c r="Z14" s="97" t="s">
        <v>18</v>
      </c>
      <c r="AA14" s="97">
        <v>12.5</v>
      </c>
      <c r="AB14" s="97" t="s">
        <v>72</v>
      </c>
      <c r="AC14" s="97" t="s">
        <v>75</v>
      </c>
      <c r="AD14" s="25" t="s">
        <v>95</v>
      </c>
      <c r="AE14" s="25">
        <v>15</v>
      </c>
      <c r="AF14" s="25" t="s">
        <v>72</v>
      </c>
      <c r="AG14" s="25" t="s">
        <v>74</v>
      </c>
    </row>
    <row r="15" spans="1:33" x14ac:dyDescent="0.2">
      <c r="A15" s="157"/>
      <c r="B15" s="25" t="s">
        <v>96</v>
      </c>
      <c r="C15" s="25">
        <v>15</v>
      </c>
      <c r="D15" s="25" t="s">
        <v>72</v>
      </c>
      <c r="E15" s="25" t="s">
        <v>74</v>
      </c>
      <c r="F15" s="25" t="s">
        <v>96</v>
      </c>
      <c r="G15" s="25">
        <v>15</v>
      </c>
      <c r="H15" s="25" t="s">
        <v>72</v>
      </c>
      <c r="I15" s="25" t="s">
        <v>74</v>
      </c>
      <c r="J15" s="25" t="s">
        <v>23</v>
      </c>
      <c r="K15" s="25">
        <v>12.5</v>
      </c>
      <c r="L15" s="25" t="s">
        <v>72</v>
      </c>
      <c r="M15" s="25" t="s">
        <v>23</v>
      </c>
      <c r="N15" s="25" t="s">
        <v>14</v>
      </c>
      <c r="O15" s="25">
        <v>12.5</v>
      </c>
      <c r="P15" s="25" t="s">
        <v>72</v>
      </c>
      <c r="Q15" s="25" t="s">
        <v>75</v>
      </c>
      <c r="R15" s="97" t="s">
        <v>20</v>
      </c>
      <c r="S15" s="97">
        <v>12.5</v>
      </c>
      <c r="T15" s="97" t="s">
        <v>72</v>
      </c>
      <c r="U15" s="97" t="s">
        <v>75</v>
      </c>
      <c r="V15" s="25" t="s">
        <v>96</v>
      </c>
      <c r="W15" s="25">
        <v>15</v>
      </c>
      <c r="X15" s="25" t="s">
        <v>72</v>
      </c>
      <c r="Y15" s="25" t="s">
        <v>74</v>
      </c>
      <c r="Z15" s="97" t="s">
        <v>19</v>
      </c>
      <c r="AA15" s="97">
        <v>12.5</v>
      </c>
      <c r="AB15" s="97" t="s">
        <v>72</v>
      </c>
      <c r="AC15" s="97" t="s">
        <v>75</v>
      </c>
      <c r="AD15" s="25" t="s">
        <v>96</v>
      </c>
      <c r="AE15" s="25">
        <v>15</v>
      </c>
      <c r="AF15" s="25" t="s">
        <v>72</v>
      </c>
      <c r="AG15" s="25" t="s">
        <v>74</v>
      </c>
    </row>
    <row r="16" spans="1:33" x14ac:dyDescent="0.2">
      <c r="A16" s="157"/>
      <c r="B16" s="25" t="s">
        <v>112</v>
      </c>
      <c r="C16" s="25">
        <v>15</v>
      </c>
      <c r="D16" s="25" t="s">
        <v>72</v>
      </c>
      <c r="E16" s="25" t="s">
        <v>74</v>
      </c>
      <c r="F16" s="25" t="s">
        <v>112</v>
      </c>
      <c r="G16" s="25">
        <v>15</v>
      </c>
      <c r="H16" s="25" t="s">
        <v>72</v>
      </c>
      <c r="I16" s="25" t="s">
        <v>74</v>
      </c>
      <c r="J16" s="25" t="s">
        <v>13</v>
      </c>
      <c r="K16" s="25">
        <v>10</v>
      </c>
      <c r="L16" s="25" t="s">
        <v>72</v>
      </c>
      <c r="M16" s="95" t="s">
        <v>23</v>
      </c>
      <c r="N16" s="25" t="s">
        <v>15</v>
      </c>
      <c r="O16" s="25">
        <v>12.5</v>
      </c>
      <c r="P16" s="25" t="s">
        <v>72</v>
      </c>
      <c r="Q16" s="25" t="s">
        <v>75</v>
      </c>
      <c r="R16" s="97" t="s">
        <v>14</v>
      </c>
      <c r="S16" s="97">
        <v>12.5</v>
      </c>
      <c r="T16" s="97" t="s">
        <v>72</v>
      </c>
      <c r="U16" s="97" t="s">
        <v>75</v>
      </c>
      <c r="V16" s="25" t="s">
        <v>112</v>
      </c>
      <c r="W16" s="25">
        <v>15</v>
      </c>
      <c r="X16" s="25" t="s">
        <v>72</v>
      </c>
      <c r="Y16" s="25" t="s">
        <v>74</v>
      </c>
      <c r="Z16" s="97" t="s">
        <v>98</v>
      </c>
      <c r="AA16" s="97">
        <v>12.5</v>
      </c>
      <c r="AB16" s="97" t="s">
        <v>72</v>
      </c>
      <c r="AC16" s="97" t="s">
        <v>75</v>
      </c>
      <c r="AD16" s="25" t="s">
        <v>112</v>
      </c>
      <c r="AE16" s="25">
        <v>15</v>
      </c>
      <c r="AF16" s="25" t="s">
        <v>72</v>
      </c>
      <c r="AG16" s="25" t="s">
        <v>74</v>
      </c>
    </row>
    <row r="17" spans="1:33" x14ac:dyDescent="0.2">
      <c r="A17" s="157"/>
      <c r="B17" s="25" t="s">
        <v>16</v>
      </c>
      <c r="C17" s="25">
        <v>12.5</v>
      </c>
      <c r="D17" s="25" t="s">
        <v>72</v>
      </c>
      <c r="E17" s="25" t="s">
        <v>75</v>
      </c>
      <c r="F17" s="25" t="s">
        <v>16</v>
      </c>
      <c r="G17" s="25">
        <v>12.5</v>
      </c>
      <c r="H17" s="25" t="s">
        <v>72</v>
      </c>
      <c r="I17" s="25" t="s">
        <v>75</v>
      </c>
      <c r="J17" s="25" t="s">
        <v>103</v>
      </c>
      <c r="K17" s="25">
        <v>10</v>
      </c>
      <c r="L17" s="25" t="s">
        <v>72</v>
      </c>
      <c r="M17" s="95" t="s">
        <v>23</v>
      </c>
      <c r="N17" s="25" t="s">
        <v>11</v>
      </c>
      <c r="O17" s="25">
        <v>12.5</v>
      </c>
      <c r="P17" s="25" t="s">
        <v>72</v>
      </c>
      <c r="Q17" s="25" t="s">
        <v>75</v>
      </c>
      <c r="R17" s="97" t="s">
        <v>15</v>
      </c>
      <c r="S17" s="97">
        <v>12.5</v>
      </c>
      <c r="T17" s="97" t="s">
        <v>72</v>
      </c>
      <c r="U17" s="97" t="s">
        <v>75</v>
      </c>
      <c r="V17" s="25" t="s">
        <v>16</v>
      </c>
      <c r="W17" s="25">
        <v>12.5</v>
      </c>
      <c r="X17" s="25" t="s">
        <v>72</v>
      </c>
      <c r="Y17" s="25" t="s">
        <v>75</v>
      </c>
      <c r="Z17" s="97" t="s">
        <v>10</v>
      </c>
      <c r="AA17" s="97">
        <v>12.5</v>
      </c>
      <c r="AB17" s="97" t="s">
        <v>72</v>
      </c>
      <c r="AC17" s="97" t="s">
        <v>75</v>
      </c>
      <c r="AD17" s="25" t="s">
        <v>16</v>
      </c>
      <c r="AE17" s="25">
        <v>10</v>
      </c>
      <c r="AF17" s="25" t="s">
        <v>72</v>
      </c>
      <c r="AG17" s="25" t="s">
        <v>75</v>
      </c>
    </row>
    <row r="18" spans="1:33" x14ac:dyDescent="0.2">
      <c r="B18" s="25" t="s">
        <v>11</v>
      </c>
      <c r="C18" s="25">
        <v>12.5</v>
      </c>
      <c r="D18" s="25" t="s">
        <v>72</v>
      </c>
      <c r="E18" s="25" t="s">
        <v>75</v>
      </c>
      <c r="F18" s="25" t="s">
        <v>11</v>
      </c>
      <c r="G18" s="25">
        <v>12.5</v>
      </c>
      <c r="H18" s="25" t="s">
        <v>72</v>
      </c>
      <c r="I18" s="25" t="s">
        <v>75</v>
      </c>
      <c r="J18" s="25" t="s">
        <v>104</v>
      </c>
      <c r="K18" s="25">
        <v>10</v>
      </c>
      <c r="L18" s="25" t="s">
        <v>72</v>
      </c>
      <c r="M18" s="25" t="s">
        <v>76</v>
      </c>
      <c r="N18" s="25" t="s">
        <v>16</v>
      </c>
      <c r="O18" s="25">
        <v>12.5</v>
      </c>
      <c r="P18" s="25" t="s">
        <v>72</v>
      </c>
      <c r="Q18" s="25" t="s">
        <v>75</v>
      </c>
      <c r="R18" s="97" t="s">
        <v>11</v>
      </c>
      <c r="S18" s="97">
        <v>12.5</v>
      </c>
      <c r="T18" s="97" t="s">
        <v>72</v>
      </c>
      <c r="U18" s="97" t="s">
        <v>75</v>
      </c>
      <c r="V18" s="25" t="s">
        <v>11</v>
      </c>
      <c r="W18" s="25">
        <v>12.5</v>
      </c>
      <c r="X18" s="25" t="s">
        <v>72</v>
      </c>
      <c r="Y18" s="25" t="s">
        <v>75</v>
      </c>
      <c r="Z18" s="97" t="s">
        <v>97</v>
      </c>
      <c r="AA18" s="97">
        <v>12.5</v>
      </c>
      <c r="AB18" s="97" t="s">
        <v>72</v>
      </c>
      <c r="AC18" s="97" t="s">
        <v>75</v>
      </c>
      <c r="AD18" s="25" t="s">
        <v>160</v>
      </c>
      <c r="AE18" s="25">
        <v>10</v>
      </c>
      <c r="AF18" s="111" t="s">
        <v>72</v>
      </c>
      <c r="AG18" s="111" t="s">
        <v>75</v>
      </c>
    </row>
    <row r="19" spans="1:33" x14ac:dyDescent="0.2">
      <c r="B19" s="25" t="s">
        <v>15</v>
      </c>
      <c r="C19" s="25">
        <v>12.5</v>
      </c>
      <c r="D19" s="25" t="s">
        <v>72</v>
      </c>
      <c r="E19" s="25" t="s">
        <v>75</v>
      </c>
      <c r="F19" s="25" t="s">
        <v>15</v>
      </c>
      <c r="G19" s="25">
        <v>12.5</v>
      </c>
      <c r="H19" s="25" t="s">
        <v>72</v>
      </c>
      <c r="I19" s="25" t="s">
        <v>75</v>
      </c>
      <c r="J19" s="25" t="s">
        <v>105</v>
      </c>
      <c r="K19" s="25">
        <v>10</v>
      </c>
      <c r="L19" s="25" t="s">
        <v>72</v>
      </c>
      <c r="M19" s="25" t="s">
        <v>76</v>
      </c>
      <c r="N19" s="25" t="s">
        <v>112</v>
      </c>
      <c r="O19" s="25">
        <v>15</v>
      </c>
      <c r="P19" s="25" t="s">
        <v>72</v>
      </c>
      <c r="Q19" s="25" t="s">
        <v>74</v>
      </c>
      <c r="R19" s="97" t="s">
        <v>16</v>
      </c>
      <c r="S19" s="97">
        <v>12.5</v>
      </c>
      <c r="T19" s="97" t="s">
        <v>72</v>
      </c>
      <c r="U19" s="97" t="s">
        <v>75</v>
      </c>
      <c r="V19" s="25" t="s">
        <v>15</v>
      </c>
      <c r="W19" s="25">
        <v>12.5</v>
      </c>
      <c r="X19" s="25" t="s">
        <v>72</v>
      </c>
      <c r="Y19" s="25" t="s">
        <v>75</v>
      </c>
      <c r="Z19" s="97" t="s">
        <v>20</v>
      </c>
      <c r="AA19" s="97">
        <v>12.5</v>
      </c>
      <c r="AB19" s="97" t="s">
        <v>72</v>
      </c>
      <c r="AC19" s="97" t="s">
        <v>75</v>
      </c>
    </row>
    <row r="20" spans="1:33" x14ac:dyDescent="0.2">
      <c r="B20" s="25" t="s">
        <v>14</v>
      </c>
      <c r="C20" s="25">
        <v>12.5</v>
      </c>
      <c r="D20" s="25" t="s">
        <v>72</v>
      </c>
      <c r="E20" s="25" t="s">
        <v>75</v>
      </c>
      <c r="F20" s="25" t="s">
        <v>14</v>
      </c>
      <c r="G20" s="25">
        <v>12.5</v>
      </c>
      <c r="H20" s="25" t="s">
        <v>72</v>
      </c>
      <c r="I20" s="25" t="s">
        <v>75</v>
      </c>
      <c r="N20" s="25" t="s">
        <v>96</v>
      </c>
      <c r="O20" s="25">
        <v>15</v>
      </c>
      <c r="P20" s="25" t="s">
        <v>72</v>
      </c>
      <c r="Q20" s="25" t="s">
        <v>74</v>
      </c>
      <c r="R20" s="97" t="s">
        <v>112</v>
      </c>
      <c r="S20" s="97">
        <v>15</v>
      </c>
      <c r="T20" s="97" t="s">
        <v>72</v>
      </c>
      <c r="U20" s="97" t="s">
        <v>74</v>
      </c>
      <c r="V20" s="25" t="s">
        <v>14</v>
      </c>
      <c r="W20" s="25">
        <v>12.5</v>
      </c>
      <c r="X20" s="25" t="s">
        <v>72</v>
      </c>
      <c r="Y20" s="25" t="s">
        <v>75</v>
      </c>
      <c r="Z20" s="97" t="s">
        <v>14</v>
      </c>
      <c r="AA20" s="97">
        <v>12.5</v>
      </c>
      <c r="AB20" s="97" t="s">
        <v>72</v>
      </c>
      <c r="AC20" s="97" t="s">
        <v>75</v>
      </c>
    </row>
    <row r="21" spans="1:33" x14ac:dyDescent="0.2">
      <c r="B21" s="25" t="s">
        <v>20</v>
      </c>
      <c r="C21" s="25">
        <v>12.5</v>
      </c>
      <c r="D21" s="25" t="s">
        <v>72</v>
      </c>
      <c r="E21" s="25" t="s">
        <v>75</v>
      </c>
      <c r="F21" s="25" t="s">
        <v>20</v>
      </c>
      <c r="G21" s="25">
        <v>12.5</v>
      </c>
      <c r="H21" s="25" t="s">
        <v>72</v>
      </c>
      <c r="I21" s="25" t="s">
        <v>75</v>
      </c>
      <c r="N21" s="25" t="s">
        <v>95</v>
      </c>
      <c r="O21" s="25">
        <v>15</v>
      </c>
      <c r="P21" s="25" t="s">
        <v>72</v>
      </c>
      <c r="Q21" s="25" t="s">
        <v>74</v>
      </c>
      <c r="R21" s="97" t="s">
        <v>96</v>
      </c>
      <c r="S21" s="97">
        <v>15</v>
      </c>
      <c r="T21" s="97" t="s">
        <v>72</v>
      </c>
      <c r="U21" s="97" t="s">
        <v>74</v>
      </c>
      <c r="V21" s="25" t="s">
        <v>20</v>
      </c>
      <c r="W21" s="25">
        <v>12.5</v>
      </c>
      <c r="X21" s="25" t="s">
        <v>72</v>
      </c>
      <c r="Y21" s="25" t="s">
        <v>75</v>
      </c>
      <c r="Z21" s="97" t="s">
        <v>15</v>
      </c>
      <c r="AA21" s="97">
        <v>12.5</v>
      </c>
      <c r="AB21" s="97" t="s">
        <v>72</v>
      </c>
      <c r="AC21" s="97" t="s">
        <v>75</v>
      </c>
    </row>
    <row r="22" spans="1:33" x14ac:dyDescent="0.2">
      <c r="B22" s="25" t="s">
        <v>97</v>
      </c>
      <c r="C22" s="25">
        <v>12.5</v>
      </c>
      <c r="D22" s="25" t="s">
        <v>72</v>
      </c>
      <c r="E22" s="25" t="s">
        <v>75</v>
      </c>
      <c r="F22" s="25" t="s">
        <v>97</v>
      </c>
      <c r="G22" s="25">
        <v>12.5</v>
      </c>
      <c r="H22" s="25" t="s">
        <v>72</v>
      </c>
      <c r="I22" s="25" t="s">
        <v>75</v>
      </c>
      <c r="N22" s="25" t="s">
        <v>63</v>
      </c>
      <c r="O22" s="25">
        <v>15</v>
      </c>
      <c r="P22" s="25" t="s">
        <v>72</v>
      </c>
      <c r="Q22" s="25" t="s">
        <v>74</v>
      </c>
      <c r="R22" s="97" t="s">
        <v>95</v>
      </c>
      <c r="S22" s="97">
        <v>15</v>
      </c>
      <c r="T22" s="97" t="s">
        <v>72</v>
      </c>
      <c r="U22" s="97" t="s">
        <v>74</v>
      </c>
      <c r="V22" s="25" t="s">
        <v>97</v>
      </c>
      <c r="W22" s="25">
        <v>12.5</v>
      </c>
      <c r="X22" s="25" t="s">
        <v>72</v>
      </c>
      <c r="Y22" s="25" t="s">
        <v>75</v>
      </c>
      <c r="Z22" s="97" t="s">
        <v>11</v>
      </c>
      <c r="AA22" s="97">
        <v>12.5</v>
      </c>
      <c r="AB22" s="97" t="s">
        <v>72</v>
      </c>
      <c r="AC22" s="97" t="s">
        <v>75</v>
      </c>
    </row>
    <row r="23" spans="1:33" x14ac:dyDescent="0.2">
      <c r="B23" s="25" t="s">
        <v>10</v>
      </c>
      <c r="C23" s="25">
        <v>12.5</v>
      </c>
      <c r="D23" s="25" t="s">
        <v>72</v>
      </c>
      <c r="E23" s="25" t="s">
        <v>75</v>
      </c>
      <c r="F23" s="25" t="s">
        <v>10</v>
      </c>
      <c r="G23" s="25">
        <v>12.5</v>
      </c>
      <c r="H23" s="25" t="s">
        <v>72</v>
      </c>
      <c r="I23" s="25" t="s">
        <v>75</v>
      </c>
      <c r="N23" s="25" t="s">
        <v>94</v>
      </c>
      <c r="O23" s="25">
        <v>15</v>
      </c>
      <c r="P23" s="25" t="s">
        <v>72</v>
      </c>
      <c r="Q23" s="25" t="s">
        <v>74</v>
      </c>
      <c r="R23" s="97" t="s">
        <v>63</v>
      </c>
      <c r="S23" s="97">
        <v>15</v>
      </c>
      <c r="T23" s="97" t="s">
        <v>72</v>
      </c>
      <c r="U23" s="97" t="s">
        <v>74</v>
      </c>
      <c r="V23" s="25" t="s">
        <v>10</v>
      </c>
      <c r="W23" s="25">
        <v>12.5</v>
      </c>
      <c r="X23" s="25" t="s">
        <v>72</v>
      </c>
      <c r="Y23" s="25" t="s">
        <v>75</v>
      </c>
      <c r="Z23" s="97" t="s">
        <v>16</v>
      </c>
      <c r="AA23" s="97">
        <v>12.5</v>
      </c>
      <c r="AB23" s="97" t="s">
        <v>72</v>
      </c>
      <c r="AC23" s="97" t="s">
        <v>75</v>
      </c>
    </row>
    <row r="24" spans="1:33" x14ac:dyDescent="0.2">
      <c r="B24" s="25" t="s">
        <v>98</v>
      </c>
      <c r="C24" s="25">
        <v>12.5</v>
      </c>
      <c r="D24" s="25" t="s">
        <v>72</v>
      </c>
      <c r="E24" s="25" t="s">
        <v>75</v>
      </c>
      <c r="F24" s="25" t="s">
        <v>98</v>
      </c>
      <c r="G24" s="25">
        <v>12.5</v>
      </c>
      <c r="H24" s="25" t="s">
        <v>72</v>
      </c>
      <c r="I24" s="25" t="s">
        <v>75</v>
      </c>
      <c r="N24" s="25" t="s">
        <v>64</v>
      </c>
      <c r="O24" s="25">
        <v>15</v>
      </c>
      <c r="P24" s="25" t="s">
        <v>72</v>
      </c>
      <c r="Q24" s="25" t="s">
        <v>74</v>
      </c>
      <c r="R24" s="97" t="s">
        <v>94</v>
      </c>
      <c r="S24" s="97">
        <v>15</v>
      </c>
      <c r="T24" s="97" t="s">
        <v>72</v>
      </c>
      <c r="U24" s="97" t="s">
        <v>74</v>
      </c>
      <c r="V24" s="25" t="s">
        <v>98</v>
      </c>
      <c r="W24" s="25">
        <v>12.5</v>
      </c>
      <c r="X24" s="25" t="s">
        <v>72</v>
      </c>
      <c r="Y24" s="25" t="s">
        <v>75</v>
      </c>
      <c r="Z24" s="97" t="s">
        <v>112</v>
      </c>
      <c r="AA24" s="97">
        <v>15</v>
      </c>
      <c r="AB24" s="97" t="s">
        <v>72</v>
      </c>
      <c r="AC24" s="97" t="s">
        <v>74</v>
      </c>
    </row>
    <row r="25" spans="1:33" x14ac:dyDescent="0.2">
      <c r="B25" s="25" t="s">
        <v>19</v>
      </c>
      <c r="C25" s="25">
        <v>12.5</v>
      </c>
      <c r="D25" s="25" t="s">
        <v>72</v>
      </c>
      <c r="E25" s="25" t="s">
        <v>75</v>
      </c>
      <c r="F25" s="25" t="s">
        <v>19</v>
      </c>
      <c r="G25" s="25">
        <v>12.5</v>
      </c>
      <c r="H25" s="25" t="s">
        <v>72</v>
      </c>
      <c r="I25" s="25" t="s">
        <v>75</v>
      </c>
      <c r="N25" s="25" t="s">
        <v>65</v>
      </c>
      <c r="O25" s="25">
        <v>15</v>
      </c>
      <c r="P25" s="25" t="s">
        <v>72</v>
      </c>
      <c r="Q25" s="25" t="s">
        <v>74</v>
      </c>
      <c r="R25" s="97" t="s">
        <v>64</v>
      </c>
      <c r="S25" s="97">
        <v>15</v>
      </c>
      <c r="T25" s="97" t="s">
        <v>72</v>
      </c>
      <c r="U25" s="97" t="s">
        <v>74</v>
      </c>
      <c r="V25" s="25" t="s">
        <v>19</v>
      </c>
      <c r="W25" s="25">
        <v>12.5</v>
      </c>
      <c r="X25" s="25" t="s">
        <v>72</v>
      </c>
      <c r="Y25" s="25" t="s">
        <v>75</v>
      </c>
      <c r="Z25" s="97" t="s">
        <v>96</v>
      </c>
      <c r="AA25" s="97">
        <v>15</v>
      </c>
      <c r="AB25" s="97" t="s">
        <v>72</v>
      </c>
      <c r="AC25" s="97" t="s">
        <v>74</v>
      </c>
    </row>
    <row r="26" spans="1:33" x14ac:dyDescent="0.2">
      <c r="B26" s="25" t="s">
        <v>18</v>
      </c>
      <c r="C26" s="25">
        <v>12.5</v>
      </c>
      <c r="D26" s="25" t="s">
        <v>72</v>
      </c>
      <c r="E26" s="25" t="s">
        <v>75</v>
      </c>
      <c r="F26" s="25" t="s">
        <v>18</v>
      </c>
      <c r="G26" s="25">
        <v>12.5</v>
      </c>
      <c r="H26" s="25" t="s">
        <v>72</v>
      </c>
      <c r="I26" s="25" t="s">
        <v>75</v>
      </c>
      <c r="N26" s="25" t="s">
        <v>66</v>
      </c>
      <c r="O26" s="25">
        <v>15</v>
      </c>
      <c r="P26" s="25" t="s">
        <v>72</v>
      </c>
      <c r="Q26" s="25" t="s">
        <v>74</v>
      </c>
      <c r="R26" s="97" t="s">
        <v>65</v>
      </c>
      <c r="S26" s="97">
        <v>15</v>
      </c>
      <c r="T26" s="97" t="s">
        <v>72</v>
      </c>
      <c r="U26" s="97" t="s">
        <v>74</v>
      </c>
      <c r="V26" s="25" t="s">
        <v>18</v>
      </c>
      <c r="W26" s="25">
        <v>12.5</v>
      </c>
      <c r="X26" s="25" t="s">
        <v>72</v>
      </c>
      <c r="Y26" s="25" t="s">
        <v>75</v>
      </c>
      <c r="Z26" s="97" t="s">
        <v>95</v>
      </c>
      <c r="AA26" s="97">
        <v>15</v>
      </c>
      <c r="AB26" s="97" t="s">
        <v>72</v>
      </c>
      <c r="AC26" s="97" t="s">
        <v>74</v>
      </c>
    </row>
    <row r="27" spans="1:33" x14ac:dyDescent="0.2">
      <c r="B27" s="25" t="s">
        <v>23</v>
      </c>
      <c r="C27" s="25">
        <v>12.5</v>
      </c>
      <c r="D27" s="25" t="s">
        <v>72</v>
      </c>
      <c r="E27" s="25" t="s">
        <v>23</v>
      </c>
      <c r="F27" s="25" t="s">
        <v>23</v>
      </c>
      <c r="G27" s="25">
        <v>12.5</v>
      </c>
      <c r="H27" s="25" t="s">
        <v>72</v>
      </c>
      <c r="I27" s="25" t="s">
        <v>23</v>
      </c>
      <c r="N27" s="25" t="s">
        <v>93</v>
      </c>
      <c r="O27" s="25">
        <v>15</v>
      </c>
      <c r="P27" s="25" t="s">
        <v>72</v>
      </c>
      <c r="Q27" s="25" t="s">
        <v>74</v>
      </c>
      <c r="R27" s="97" t="s">
        <v>66</v>
      </c>
      <c r="S27" s="97">
        <v>15</v>
      </c>
      <c r="T27" s="97" t="s">
        <v>72</v>
      </c>
      <c r="U27" s="97" t="s">
        <v>74</v>
      </c>
      <c r="V27" s="25" t="s">
        <v>23</v>
      </c>
      <c r="W27" s="25">
        <v>12.5</v>
      </c>
      <c r="X27" s="25" t="s">
        <v>72</v>
      </c>
      <c r="Y27" s="25" t="s">
        <v>23</v>
      </c>
      <c r="Z27" s="97" t="s">
        <v>63</v>
      </c>
      <c r="AA27" s="97">
        <v>15</v>
      </c>
      <c r="AB27" s="97" t="s">
        <v>72</v>
      </c>
      <c r="AC27" s="97" t="s">
        <v>74</v>
      </c>
    </row>
    <row r="28" spans="1:33" x14ac:dyDescent="0.2">
      <c r="B28" s="25" t="s">
        <v>13</v>
      </c>
      <c r="C28" s="25">
        <v>10</v>
      </c>
      <c r="D28" s="25" t="s">
        <v>72</v>
      </c>
      <c r="E28" s="25" t="s">
        <v>76</v>
      </c>
      <c r="F28" s="25" t="s">
        <v>13</v>
      </c>
      <c r="G28" s="25">
        <v>10</v>
      </c>
      <c r="H28" s="25" t="s">
        <v>72</v>
      </c>
      <c r="I28" s="95" t="s">
        <v>23</v>
      </c>
      <c r="N28" s="25" t="s">
        <v>92</v>
      </c>
      <c r="O28" s="25">
        <v>15</v>
      </c>
      <c r="P28" s="25" t="s">
        <v>72</v>
      </c>
      <c r="Q28" s="25" t="s">
        <v>74</v>
      </c>
      <c r="R28" s="97" t="s">
        <v>93</v>
      </c>
      <c r="S28" s="97">
        <v>15</v>
      </c>
      <c r="T28" s="97" t="s">
        <v>72</v>
      </c>
      <c r="U28" s="97" t="s">
        <v>74</v>
      </c>
      <c r="V28" s="25" t="s">
        <v>13</v>
      </c>
      <c r="W28" s="25">
        <v>10</v>
      </c>
      <c r="X28" s="25" t="s">
        <v>72</v>
      </c>
      <c r="Y28" s="25" t="s">
        <v>76</v>
      </c>
      <c r="Z28" s="97" t="s">
        <v>94</v>
      </c>
      <c r="AA28" s="97">
        <v>15</v>
      </c>
      <c r="AB28" s="97" t="s">
        <v>72</v>
      </c>
      <c r="AC28" s="97" t="s">
        <v>74</v>
      </c>
    </row>
    <row r="29" spans="1:33" x14ac:dyDescent="0.2">
      <c r="B29" s="25" t="s">
        <v>99</v>
      </c>
      <c r="C29" s="25">
        <v>10</v>
      </c>
      <c r="D29" s="25" t="s">
        <v>72</v>
      </c>
      <c r="E29" s="25" t="s">
        <v>76</v>
      </c>
      <c r="F29" s="25" t="s">
        <v>103</v>
      </c>
      <c r="G29" s="25">
        <v>10</v>
      </c>
      <c r="H29" s="25" t="s">
        <v>72</v>
      </c>
      <c r="I29" s="95" t="s">
        <v>23</v>
      </c>
      <c r="N29" s="25" t="s">
        <v>91</v>
      </c>
      <c r="O29" s="25">
        <v>15</v>
      </c>
      <c r="P29" s="25" t="s">
        <v>72</v>
      </c>
      <c r="Q29" s="25" t="s">
        <v>74</v>
      </c>
      <c r="R29" s="97" t="s">
        <v>92</v>
      </c>
      <c r="S29" s="97">
        <v>15</v>
      </c>
      <c r="T29" s="97" t="s">
        <v>72</v>
      </c>
      <c r="U29" s="97" t="s">
        <v>74</v>
      </c>
      <c r="V29" s="25" t="s">
        <v>103</v>
      </c>
      <c r="W29" s="25">
        <v>10</v>
      </c>
      <c r="X29" s="25" t="s">
        <v>72</v>
      </c>
      <c r="Y29" s="25" t="s">
        <v>76</v>
      </c>
      <c r="Z29" s="97" t="s">
        <v>64</v>
      </c>
      <c r="AA29" s="97">
        <v>15</v>
      </c>
      <c r="AB29" s="97" t="s">
        <v>72</v>
      </c>
      <c r="AC29" s="97" t="s">
        <v>74</v>
      </c>
    </row>
    <row r="30" spans="1:33" x14ac:dyDescent="0.2">
      <c r="B30" s="25" t="s">
        <v>100</v>
      </c>
      <c r="C30" s="25">
        <v>10</v>
      </c>
      <c r="D30" s="25" t="s">
        <v>72</v>
      </c>
      <c r="E30" s="25" t="s">
        <v>76</v>
      </c>
      <c r="F30" s="25" t="s">
        <v>104</v>
      </c>
      <c r="G30" s="25">
        <v>10</v>
      </c>
      <c r="H30" s="25" t="s">
        <v>72</v>
      </c>
      <c r="I30" s="25" t="s">
        <v>76</v>
      </c>
      <c r="N30" s="25" t="s">
        <v>90</v>
      </c>
      <c r="O30" s="25">
        <v>15</v>
      </c>
      <c r="P30" s="25" t="s">
        <v>72</v>
      </c>
      <c r="Q30" s="25" t="s">
        <v>74</v>
      </c>
      <c r="R30" s="97" t="s">
        <v>91</v>
      </c>
      <c r="S30" s="97">
        <v>15</v>
      </c>
      <c r="T30" s="97" t="s">
        <v>72</v>
      </c>
      <c r="U30" s="97" t="s">
        <v>74</v>
      </c>
      <c r="V30" s="25" t="s">
        <v>104</v>
      </c>
      <c r="W30" s="25">
        <v>10</v>
      </c>
      <c r="X30" s="25" t="s">
        <v>72</v>
      </c>
      <c r="Y30" s="25" t="s">
        <v>76</v>
      </c>
      <c r="Z30" s="97" t="s">
        <v>65</v>
      </c>
      <c r="AA30" s="97">
        <v>15</v>
      </c>
      <c r="AB30" s="97" t="s">
        <v>72</v>
      </c>
      <c r="AC30" s="97" t="s">
        <v>74</v>
      </c>
    </row>
    <row r="31" spans="1:33" x14ac:dyDescent="0.2">
      <c r="F31" s="25" t="s">
        <v>105</v>
      </c>
      <c r="G31" s="25">
        <v>10</v>
      </c>
      <c r="H31" s="25" t="s">
        <v>72</v>
      </c>
      <c r="I31" s="25" t="s">
        <v>76</v>
      </c>
      <c r="R31" s="97" t="s">
        <v>90</v>
      </c>
      <c r="S31" s="97">
        <v>15</v>
      </c>
      <c r="T31" s="97" t="s">
        <v>72</v>
      </c>
      <c r="U31" s="97" t="s">
        <v>74</v>
      </c>
      <c r="V31" s="25" t="s">
        <v>12</v>
      </c>
      <c r="W31" s="25">
        <v>10</v>
      </c>
      <c r="X31" s="25" t="s">
        <v>72</v>
      </c>
      <c r="Y31" s="25" t="s">
        <v>76</v>
      </c>
      <c r="Z31" s="97" t="s">
        <v>66</v>
      </c>
      <c r="AA31" s="97">
        <v>15</v>
      </c>
      <c r="AB31" s="97" t="s">
        <v>72</v>
      </c>
      <c r="AC31" s="97" t="s">
        <v>74</v>
      </c>
    </row>
    <row r="32" spans="1:33" x14ac:dyDescent="0.2">
      <c r="R32" s="97"/>
      <c r="S32" s="97"/>
      <c r="T32" s="97"/>
      <c r="U32" s="97"/>
      <c r="Z32" s="97" t="s">
        <v>93</v>
      </c>
      <c r="AA32" s="97">
        <v>15</v>
      </c>
      <c r="AB32" s="97" t="s">
        <v>72</v>
      </c>
      <c r="AC32" s="97" t="s">
        <v>74</v>
      </c>
    </row>
    <row r="33" spans="18:29" x14ac:dyDescent="0.2">
      <c r="R33" s="97"/>
      <c r="S33" s="97"/>
      <c r="T33" s="97"/>
      <c r="U33" s="97"/>
      <c r="Z33" s="97" t="s">
        <v>92</v>
      </c>
      <c r="AA33" s="97">
        <v>15</v>
      </c>
      <c r="AB33" s="97" t="s">
        <v>72</v>
      </c>
      <c r="AC33" s="97" t="s">
        <v>74</v>
      </c>
    </row>
    <row r="34" spans="18:29" x14ac:dyDescent="0.2">
      <c r="R34" s="97"/>
      <c r="S34" s="97"/>
      <c r="T34" s="97"/>
      <c r="U34" s="97"/>
      <c r="Z34" s="97" t="s">
        <v>91</v>
      </c>
      <c r="AA34" s="97">
        <v>15</v>
      </c>
      <c r="AB34" s="97" t="s">
        <v>72</v>
      </c>
      <c r="AC34" s="97" t="s">
        <v>74</v>
      </c>
    </row>
    <row r="35" spans="18:29" x14ac:dyDescent="0.2">
      <c r="R35" s="97"/>
      <c r="S35" s="97"/>
      <c r="T35" s="97"/>
      <c r="U35" s="97"/>
      <c r="Z35" s="97" t="s">
        <v>90</v>
      </c>
      <c r="AA35" s="97">
        <v>15</v>
      </c>
      <c r="AB35" s="97" t="s">
        <v>72</v>
      </c>
      <c r="AC35" s="97" t="s">
        <v>74</v>
      </c>
    </row>
    <row r="36" spans="18:29" x14ac:dyDescent="0.2">
      <c r="R36" s="97"/>
      <c r="S36" s="97"/>
      <c r="T36" s="97"/>
      <c r="U36" s="97"/>
      <c r="Z36" s="97"/>
      <c r="AA36" s="97"/>
      <c r="AB36" s="97"/>
      <c r="AC36" s="97"/>
    </row>
    <row r="37" spans="18:29" x14ac:dyDescent="0.2">
      <c r="R37" s="97"/>
      <c r="S37" s="97"/>
      <c r="T37" s="97"/>
      <c r="U37" s="97"/>
      <c r="Z37" s="97"/>
      <c r="AA37" s="97"/>
      <c r="AB37" s="97"/>
      <c r="AC37" s="97"/>
    </row>
    <row r="38" spans="18:29" x14ac:dyDescent="0.2">
      <c r="R38" s="97"/>
      <c r="S38" s="97"/>
      <c r="T38" s="97"/>
      <c r="U38" s="97"/>
      <c r="Z38" s="97"/>
      <c r="AA38" s="97"/>
      <c r="AB38" s="97"/>
      <c r="AC38" s="97"/>
    </row>
    <row r="39" spans="18:29" x14ac:dyDescent="0.2">
      <c r="R39" s="97"/>
      <c r="S39" s="97"/>
      <c r="T39" s="97"/>
      <c r="U39" s="97"/>
      <c r="Z39" s="97"/>
      <c r="AA39" s="97"/>
      <c r="AB39" s="97"/>
      <c r="AC39" s="97"/>
    </row>
    <row r="40" spans="18:29" x14ac:dyDescent="0.2">
      <c r="R40" s="97"/>
      <c r="S40" s="97"/>
      <c r="T40" s="97"/>
      <c r="U40" s="97"/>
      <c r="Z40" s="97"/>
      <c r="AA40" s="97"/>
      <c r="AB40" s="97"/>
      <c r="AC40" s="97"/>
    </row>
    <row r="41" spans="18:29" x14ac:dyDescent="0.2">
      <c r="R41" s="97"/>
      <c r="S41" s="97"/>
      <c r="T41" s="97"/>
      <c r="U41" s="97"/>
      <c r="Z41" s="97"/>
      <c r="AA41" s="97"/>
      <c r="AB41" s="97"/>
      <c r="AC41" s="97"/>
    </row>
    <row r="42" spans="18:29" x14ac:dyDescent="0.2">
      <c r="R42" s="97"/>
      <c r="S42" s="97"/>
      <c r="T42" s="97"/>
      <c r="U42" s="97"/>
      <c r="Z42" s="97"/>
      <c r="AA42" s="97"/>
      <c r="AB42" s="97"/>
      <c r="AC42" s="97"/>
    </row>
    <row r="43" spans="18:29" x14ac:dyDescent="0.2">
      <c r="R43" s="97"/>
      <c r="S43" s="97"/>
      <c r="T43" s="97"/>
      <c r="U43" s="97"/>
      <c r="Z43" s="97"/>
      <c r="AA43" s="97"/>
      <c r="AB43" s="97"/>
      <c r="AC43" s="97"/>
    </row>
    <row r="44" spans="18:29" x14ac:dyDescent="0.2">
      <c r="R44" s="97"/>
      <c r="S44" s="97"/>
      <c r="T44" s="97"/>
      <c r="U44" s="97"/>
      <c r="Z44" s="97"/>
      <c r="AA44" s="97"/>
      <c r="AB44" s="97"/>
      <c r="AC44" s="97"/>
    </row>
    <row r="45" spans="18:29" x14ac:dyDescent="0.2">
      <c r="R45" s="97"/>
      <c r="S45" s="97"/>
      <c r="T45" s="97"/>
      <c r="U45" s="97"/>
      <c r="Z45" s="97"/>
      <c r="AA45" s="97"/>
      <c r="AB45" s="97"/>
      <c r="AC45" s="97"/>
    </row>
    <row r="46" spans="18:29" x14ac:dyDescent="0.2">
      <c r="R46" s="97"/>
      <c r="S46" s="97"/>
      <c r="T46" s="97"/>
      <c r="U46" s="97"/>
      <c r="Z46" s="97"/>
      <c r="AA46" s="97"/>
      <c r="AB46" s="97"/>
      <c r="AC46" s="97"/>
    </row>
    <row r="47" spans="18:29" x14ac:dyDescent="0.2">
      <c r="R47" s="97"/>
      <c r="S47" s="97"/>
      <c r="T47" s="97"/>
      <c r="U47" s="97"/>
      <c r="Z47" s="97"/>
      <c r="AA47" s="97"/>
      <c r="AB47" s="97"/>
      <c r="AC47" s="97"/>
    </row>
    <row r="48" spans="18:29" x14ac:dyDescent="0.2">
      <c r="R48" s="97"/>
      <c r="S48" s="97"/>
      <c r="T48" s="97"/>
      <c r="U48" s="97"/>
      <c r="Z48" s="97"/>
      <c r="AA48" s="97"/>
      <c r="AB48" s="97"/>
      <c r="AC48" s="97"/>
    </row>
    <row r="49" spans="18:29" x14ac:dyDescent="0.2">
      <c r="R49" s="97"/>
      <c r="S49" s="97"/>
      <c r="T49" s="97"/>
      <c r="U49" s="97"/>
      <c r="Z49" s="97"/>
      <c r="AA49" s="97"/>
      <c r="AB49" s="97"/>
      <c r="AC49" s="97"/>
    </row>
    <row r="50" spans="18:29" x14ac:dyDescent="0.2">
      <c r="R50" s="97"/>
      <c r="S50" s="97"/>
      <c r="T50" s="97"/>
      <c r="U50" s="97"/>
      <c r="Z50" s="97"/>
      <c r="AA50" s="97"/>
      <c r="AB50" s="97"/>
      <c r="AC50" s="97"/>
    </row>
    <row r="51" spans="18:29" x14ac:dyDescent="0.2">
      <c r="R51" s="97"/>
      <c r="S51" s="97"/>
      <c r="T51" s="97"/>
      <c r="U51" s="97"/>
      <c r="Z51" s="97"/>
      <c r="AA51" s="97"/>
      <c r="AB51" s="97"/>
      <c r="AC51" s="97"/>
    </row>
    <row r="52" spans="18:29" x14ac:dyDescent="0.2">
      <c r="R52" s="97"/>
      <c r="S52" s="97"/>
      <c r="T52" s="97"/>
      <c r="U52" s="97"/>
      <c r="Z52" s="97"/>
      <c r="AA52" s="97"/>
      <c r="AB52" s="97"/>
      <c r="AC52" s="97"/>
    </row>
    <row r="53" spans="18:29" x14ac:dyDescent="0.2">
      <c r="R53" s="97"/>
      <c r="S53" s="97"/>
      <c r="T53" s="97"/>
      <c r="U53" s="97"/>
      <c r="Z53" s="97"/>
      <c r="AA53" s="97"/>
      <c r="AB53" s="97"/>
      <c r="AC53" s="97"/>
    </row>
    <row r="54" spans="18:29" x14ac:dyDescent="0.2">
      <c r="R54" s="97"/>
      <c r="S54" s="97"/>
      <c r="T54" s="97"/>
      <c r="U54" s="97"/>
      <c r="Z54" s="97"/>
      <c r="AA54" s="97"/>
      <c r="AB54" s="97"/>
      <c r="AC54" s="97"/>
    </row>
    <row r="55" spans="18:29" x14ac:dyDescent="0.2">
      <c r="R55" s="97"/>
      <c r="S55" s="97"/>
      <c r="T55" s="97"/>
      <c r="U55" s="97"/>
      <c r="Z55" s="97"/>
      <c r="AA55" s="97"/>
      <c r="AB55" s="97"/>
      <c r="AC55" s="97"/>
    </row>
    <row r="56" spans="18:29" x14ac:dyDescent="0.2">
      <c r="R56" s="97"/>
      <c r="S56" s="97"/>
      <c r="T56" s="97"/>
      <c r="U56" s="97"/>
      <c r="Z56" s="97"/>
      <c r="AA56" s="97"/>
      <c r="AB56" s="97"/>
      <c r="AC56" s="97"/>
    </row>
    <row r="57" spans="18:29" x14ac:dyDescent="0.2">
      <c r="R57" s="97"/>
      <c r="S57" s="97"/>
      <c r="T57" s="97"/>
      <c r="U57" s="97"/>
      <c r="Z57" s="97"/>
      <c r="AA57" s="97"/>
      <c r="AB57" s="97"/>
      <c r="AC57" s="97"/>
    </row>
    <row r="58" spans="18:29" x14ac:dyDescent="0.2">
      <c r="R58" s="97"/>
      <c r="S58" s="97"/>
      <c r="T58" s="97"/>
      <c r="U58" s="97"/>
      <c r="Z58" s="97"/>
      <c r="AA58" s="97"/>
      <c r="AB58" s="97"/>
      <c r="AC58" s="97"/>
    </row>
    <row r="59" spans="18:29" x14ac:dyDescent="0.2">
      <c r="R59" s="97"/>
      <c r="S59" s="97"/>
      <c r="T59" s="97"/>
      <c r="U59" s="97"/>
      <c r="Z59" s="97"/>
      <c r="AA59" s="97"/>
      <c r="AB59" s="97"/>
      <c r="AC59" s="97"/>
    </row>
    <row r="60" spans="18:29" x14ac:dyDescent="0.2">
      <c r="R60" s="97"/>
      <c r="S60" s="97"/>
      <c r="T60" s="97"/>
      <c r="U60" s="97"/>
      <c r="Z60" s="97"/>
      <c r="AA60" s="97"/>
      <c r="AB60" s="97"/>
      <c r="AC60" s="97"/>
    </row>
    <row r="61" spans="18:29" x14ac:dyDescent="0.2">
      <c r="R61" s="97"/>
      <c r="S61" s="97"/>
      <c r="T61" s="97"/>
      <c r="U61" s="97"/>
      <c r="Z61" s="97"/>
      <c r="AA61" s="97"/>
      <c r="AB61" s="97"/>
      <c r="AC61" s="97"/>
    </row>
    <row r="62" spans="18:29" x14ac:dyDescent="0.2">
      <c r="R62" s="97"/>
      <c r="S62" s="97"/>
      <c r="T62" s="97"/>
      <c r="U62" s="97"/>
      <c r="Z62" s="97"/>
      <c r="AA62" s="97"/>
      <c r="AB62" s="97"/>
      <c r="AC62" s="97"/>
    </row>
    <row r="63" spans="18:29" x14ac:dyDescent="0.2">
      <c r="R63" s="97"/>
      <c r="S63" s="97"/>
      <c r="T63" s="97"/>
      <c r="U63" s="97"/>
      <c r="Z63" s="97"/>
      <c r="AA63" s="97"/>
      <c r="AB63" s="97"/>
      <c r="AC63" s="97"/>
    </row>
    <row r="64" spans="18:29" x14ac:dyDescent="0.2">
      <c r="R64" s="97"/>
      <c r="S64" s="97"/>
      <c r="T64" s="97"/>
      <c r="U64" s="97"/>
      <c r="Z64" s="97"/>
      <c r="AA64" s="97"/>
      <c r="AB64" s="97"/>
      <c r="AC64" s="97"/>
    </row>
    <row r="65" spans="18:29" x14ac:dyDescent="0.2">
      <c r="R65" s="97"/>
      <c r="S65" s="97"/>
      <c r="T65" s="97"/>
      <c r="U65" s="97"/>
      <c r="Z65" s="97"/>
      <c r="AA65" s="97"/>
      <c r="AB65" s="97"/>
      <c r="AC65" s="97"/>
    </row>
    <row r="66" spans="18:29" x14ac:dyDescent="0.2">
      <c r="R66" s="97"/>
      <c r="S66" s="97"/>
      <c r="T66" s="97"/>
      <c r="U66" s="97"/>
      <c r="Z66" s="97"/>
      <c r="AA66" s="97"/>
      <c r="AB66" s="97"/>
      <c r="AC66" s="97"/>
    </row>
    <row r="67" spans="18:29" x14ac:dyDescent="0.2">
      <c r="R67" s="97"/>
      <c r="S67" s="97"/>
      <c r="T67" s="97"/>
      <c r="U67" s="97"/>
      <c r="Z67" s="97"/>
      <c r="AA67" s="97"/>
      <c r="AB67" s="97"/>
      <c r="AC67" s="97"/>
    </row>
    <row r="68" spans="18:29" x14ac:dyDescent="0.2">
      <c r="R68" s="97"/>
      <c r="S68" s="97"/>
      <c r="T68" s="97"/>
      <c r="U68" s="97"/>
      <c r="Z68" s="97"/>
      <c r="AA68" s="97"/>
      <c r="AB68" s="97"/>
      <c r="AC68" s="97"/>
    </row>
    <row r="69" spans="18:29" x14ac:dyDescent="0.2">
      <c r="R69" s="97"/>
      <c r="S69" s="97"/>
      <c r="T69" s="97"/>
      <c r="U69" s="97"/>
      <c r="Z69" s="97"/>
      <c r="AA69" s="97"/>
      <c r="AB69" s="97"/>
      <c r="AC69" s="97"/>
    </row>
    <row r="70" spans="18:29" x14ac:dyDescent="0.2">
      <c r="R70" s="97"/>
      <c r="S70" s="97"/>
      <c r="T70" s="97"/>
      <c r="U70" s="97"/>
      <c r="Z70" s="97"/>
      <c r="AA70" s="97"/>
      <c r="AB70" s="97"/>
      <c r="AC70" s="97"/>
    </row>
    <row r="71" spans="18:29" x14ac:dyDescent="0.2">
      <c r="R71" s="97"/>
      <c r="S71" s="97"/>
      <c r="T71" s="97"/>
      <c r="U71" s="97"/>
      <c r="Z71" s="97"/>
      <c r="AA71" s="97"/>
      <c r="AB71" s="97"/>
      <c r="AC71" s="97"/>
    </row>
    <row r="72" spans="18:29" x14ac:dyDescent="0.2">
      <c r="R72" s="97"/>
      <c r="S72" s="97"/>
      <c r="T72" s="97"/>
      <c r="U72" s="97"/>
      <c r="Z72" s="97"/>
      <c r="AA72" s="97"/>
      <c r="AB72" s="97"/>
      <c r="AC72" s="97"/>
    </row>
    <row r="73" spans="18:29" x14ac:dyDescent="0.2">
      <c r="R73" s="97"/>
      <c r="S73" s="97"/>
      <c r="T73" s="97"/>
      <c r="U73" s="97"/>
      <c r="Z73" s="97"/>
      <c r="AA73" s="97"/>
      <c r="AB73" s="97"/>
      <c r="AC73" s="97"/>
    </row>
    <row r="74" spans="18:29" x14ac:dyDescent="0.2">
      <c r="R74" s="97"/>
      <c r="S74" s="97"/>
      <c r="T74" s="97"/>
      <c r="U74" s="97"/>
      <c r="Z74" s="97"/>
      <c r="AA74" s="97"/>
      <c r="AB74" s="97"/>
      <c r="AC74" s="97"/>
    </row>
    <row r="75" spans="18:29" x14ac:dyDescent="0.2">
      <c r="R75" s="97"/>
      <c r="S75" s="97"/>
      <c r="T75" s="97"/>
      <c r="U75" s="97"/>
      <c r="Z75" s="97"/>
      <c r="AA75" s="97"/>
      <c r="AB75" s="97"/>
      <c r="AC75" s="97"/>
    </row>
    <row r="76" spans="18:29" x14ac:dyDescent="0.2">
      <c r="R76" s="97"/>
      <c r="S76" s="97"/>
      <c r="T76" s="97"/>
      <c r="U76" s="97"/>
      <c r="Z76" s="97"/>
      <c r="AA76" s="97"/>
      <c r="AB76" s="97"/>
      <c r="AC76" s="97"/>
    </row>
    <row r="77" spans="18:29" x14ac:dyDescent="0.2">
      <c r="R77" s="97"/>
      <c r="S77" s="97"/>
      <c r="T77" s="97"/>
      <c r="U77" s="97"/>
      <c r="Z77" s="97"/>
      <c r="AA77" s="97"/>
      <c r="AB77" s="97"/>
      <c r="AC77" s="97"/>
    </row>
    <row r="78" spans="18:29" x14ac:dyDescent="0.2">
      <c r="R78" s="97"/>
      <c r="S78" s="97"/>
      <c r="T78" s="97"/>
      <c r="U78" s="97"/>
      <c r="Z78" s="97"/>
      <c r="AA78" s="97"/>
      <c r="AB78" s="97"/>
      <c r="AC78" s="97"/>
    </row>
    <row r="79" spans="18:29" x14ac:dyDescent="0.2">
      <c r="R79" s="97"/>
      <c r="S79" s="97"/>
      <c r="T79" s="97"/>
      <c r="U79" s="97"/>
      <c r="Z79" s="97"/>
      <c r="AA79" s="97"/>
      <c r="AB79" s="97"/>
      <c r="AC79" s="97"/>
    </row>
    <row r="80" spans="18:29" x14ac:dyDescent="0.2">
      <c r="R80" s="97"/>
      <c r="S80" s="97"/>
      <c r="T80" s="97"/>
      <c r="U80" s="97"/>
      <c r="Z80" s="97"/>
      <c r="AA80" s="97"/>
      <c r="AB80" s="97"/>
      <c r="AC80" s="97"/>
    </row>
    <row r="81" spans="18:29" x14ac:dyDescent="0.2">
      <c r="R81" s="97"/>
      <c r="S81" s="97"/>
      <c r="T81" s="97"/>
      <c r="U81" s="97"/>
      <c r="Z81" s="97"/>
      <c r="AA81" s="97"/>
      <c r="AB81" s="97"/>
      <c r="AC81" s="97"/>
    </row>
    <row r="82" spans="18:29" x14ac:dyDescent="0.2">
      <c r="R82" s="97"/>
      <c r="S82" s="97"/>
      <c r="T82" s="97"/>
      <c r="U82" s="97"/>
      <c r="Z82" s="97"/>
      <c r="AA82" s="97"/>
      <c r="AB82" s="97"/>
      <c r="AC82" s="97"/>
    </row>
    <row r="83" spans="18:29" x14ac:dyDescent="0.2">
      <c r="R83" s="97"/>
      <c r="S83" s="97"/>
      <c r="T83" s="97"/>
      <c r="U83" s="97"/>
      <c r="Z83" s="97"/>
      <c r="AA83" s="97"/>
      <c r="AB83" s="97"/>
      <c r="AC83" s="97"/>
    </row>
    <row r="84" spans="18:29" x14ac:dyDescent="0.2">
      <c r="R84" s="97"/>
      <c r="S84" s="97"/>
      <c r="T84" s="97"/>
      <c r="U84" s="97"/>
      <c r="Z84" s="97"/>
      <c r="AA84" s="97"/>
      <c r="AB84" s="97"/>
      <c r="AC84" s="97"/>
    </row>
    <row r="85" spans="18:29" x14ac:dyDescent="0.2">
      <c r="R85" s="97"/>
      <c r="S85" s="97"/>
      <c r="T85" s="97"/>
      <c r="U85" s="97"/>
      <c r="Z85" s="97"/>
      <c r="AA85" s="97"/>
      <c r="AB85" s="97"/>
      <c r="AC85" s="97"/>
    </row>
    <row r="86" spans="18:29" x14ac:dyDescent="0.2">
      <c r="R86" s="97"/>
      <c r="S86" s="97"/>
      <c r="T86" s="97"/>
      <c r="U86" s="97"/>
      <c r="Z86" s="97"/>
      <c r="AA86" s="97"/>
      <c r="AB86" s="97"/>
      <c r="AC86" s="97"/>
    </row>
    <row r="87" spans="18:29" x14ac:dyDescent="0.2">
      <c r="R87" s="97"/>
      <c r="S87" s="97"/>
      <c r="T87" s="97"/>
      <c r="U87" s="97"/>
      <c r="Z87" s="97"/>
      <c r="AA87" s="97"/>
      <c r="AB87" s="97"/>
      <c r="AC87" s="97"/>
    </row>
    <row r="88" spans="18:29" x14ac:dyDescent="0.2">
      <c r="R88" s="97"/>
      <c r="S88" s="97"/>
      <c r="T88" s="97"/>
      <c r="U88" s="97"/>
      <c r="Z88" s="97"/>
      <c r="AA88" s="97"/>
      <c r="AB88" s="97"/>
      <c r="AC88" s="97"/>
    </row>
    <row r="89" spans="18:29" x14ac:dyDescent="0.2">
      <c r="R89" s="97"/>
      <c r="S89" s="97"/>
      <c r="T89" s="97"/>
      <c r="U89" s="97"/>
      <c r="Z89" s="97"/>
      <c r="AA89" s="97"/>
      <c r="AB89" s="97"/>
      <c r="AC89" s="97"/>
    </row>
    <row r="90" spans="18:29" x14ac:dyDescent="0.2">
      <c r="R90" s="97"/>
      <c r="S90" s="97"/>
      <c r="T90" s="97"/>
      <c r="U90" s="97"/>
      <c r="Z90" s="97"/>
      <c r="AA90" s="97"/>
      <c r="AB90" s="97"/>
      <c r="AC90" s="97"/>
    </row>
    <row r="91" spans="18:29" x14ac:dyDescent="0.2">
      <c r="R91" s="97"/>
      <c r="S91" s="97"/>
      <c r="T91" s="97"/>
      <c r="U91" s="97"/>
      <c r="Z91" s="97"/>
      <c r="AA91" s="97"/>
      <c r="AB91" s="97"/>
      <c r="AC91" s="97"/>
    </row>
    <row r="92" spans="18:29" x14ac:dyDescent="0.2">
      <c r="R92" s="97"/>
      <c r="S92" s="97"/>
      <c r="T92" s="97"/>
      <c r="U92" s="97"/>
      <c r="Z92" s="97"/>
      <c r="AA92" s="97"/>
      <c r="AB92" s="97"/>
      <c r="AC92" s="97"/>
    </row>
    <row r="93" spans="18:29" x14ac:dyDescent="0.2">
      <c r="R93" s="97"/>
      <c r="S93" s="97"/>
      <c r="T93" s="97"/>
      <c r="U93" s="97"/>
      <c r="Z93" s="97"/>
      <c r="AA93" s="97"/>
      <c r="AB93" s="97"/>
      <c r="AC93" s="97"/>
    </row>
    <row r="94" spans="18:29" x14ac:dyDescent="0.2">
      <c r="R94" s="97"/>
      <c r="S94" s="97"/>
      <c r="T94" s="97"/>
      <c r="U94" s="97"/>
      <c r="Z94" s="97"/>
      <c r="AA94" s="97"/>
      <c r="AB94" s="97"/>
      <c r="AC94" s="97"/>
    </row>
    <row r="95" spans="18:29" x14ac:dyDescent="0.2">
      <c r="R95" s="97"/>
      <c r="S95" s="97"/>
      <c r="T95" s="97"/>
      <c r="U95" s="97"/>
      <c r="Z95" s="97"/>
      <c r="AA95" s="97"/>
      <c r="AB95" s="97"/>
      <c r="AC95" s="97"/>
    </row>
    <row r="96" spans="18:29" x14ac:dyDescent="0.2">
      <c r="R96" s="97"/>
      <c r="S96" s="97"/>
      <c r="T96" s="97"/>
      <c r="U96" s="97"/>
      <c r="Z96" s="97"/>
      <c r="AA96" s="97"/>
      <c r="AB96" s="97"/>
      <c r="AC96" s="97"/>
    </row>
    <row r="97" spans="18:29" x14ac:dyDescent="0.2">
      <c r="R97" s="97"/>
      <c r="S97" s="97"/>
      <c r="T97" s="97"/>
      <c r="U97" s="97"/>
      <c r="Z97" s="97"/>
      <c r="AA97" s="97"/>
      <c r="AB97" s="97"/>
      <c r="AC97" s="97"/>
    </row>
    <row r="98" spans="18:29" x14ac:dyDescent="0.2">
      <c r="R98" s="97"/>
      <c r="S98" s="97"/>
      <c r="T98" s="97"/>
      <c r="U98" s="97"/>
      <c r="Z98" s="97"/>
      <c r="AA98" s="97"/>
      <c r="AB98" s="97"/>
      <c r="AC98" s="97"/>
    </row>
    <row r="99" spans="18:29" x14ac:dyDescent="0.2">
      <c r="R99" s="97"/>
      <c r="S99" s="97"/>
      <c r="T99" s="97"/>
      <c r="U99" s="97"/>
      <c r="Z99" s="97"/>
      <c r="AA99" s="97"/>
      <c r="AB99" s="97"/>
      <c r="AC99" s="97"/>
    </row>
    <row r="100" spans="18:29" x14ac:dyDescent="0.2">
      <c r="R100" s="97"/>
      <c r="S100" s="97"/>
      <c r="T100" s="97"/>
      <c r="U100" s="97"/>
      <c r="Z100" s="97"/>
      <c r="AA100" s="97"/>
      <c r="AB100" s="97"/>
      <c r="AC100" s="97"/>
    </row>
  </sheetData>
  <mergeCells count="1">
    <mergeCell ref="A5:A1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LoadRouteForm">
                <anchor>
                  <from>
                    <xdr:col>11</xdr:col>
                    <xdr:colOff>571500</xdr:colOff>
                    <xdr:row>0</xdr:row>
                    <xdr:rowOff>38100</xdr:rowOff>
                  </from>
                  <to>
                    <xdr:col>13</xdr:col>
                    <xdr:colOff>304800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L37"/>
  <sheetViews>
    <sheetView zoomScale="115" zoomScaleNormal="115" workbookViewId="0">
      <selection activeCell="A26" sqref="A26:XFD28"/>
    </sheetView>
  </sheetViews>
  <sheetFormatPr defaultRowHeight="12.75" x14ac:dyDescent="0.2"/>
  <cols>
    <col min="1" max="1" width="17.28515625" style="4" bestFit="1" customWidth="1"/>
    <col min="2" max="2" width="19.7109375" style="4" customWidth="1"/>
    <col min="3" max="3" width="7.42578125" style="4" customWidth="1"/>
    <col min="4" max="4" width="7.5703125" style="4" customWidth="1"/>
    <col min="5" max="5" width="14.5703125" style="4" customWidth="1"/>
    <col min="6" max="6" width="8.7109375" style="4" customWidth="1"/>
    <col min="7" max="7" width="4.5703125" style="59" bestFit="1" customWidth="1"/>
    <col min="8" max="8" width="2.7109375" style="4" bestFit="1" customWidth="1"/>
    <col min="9" max="9" width="9.140625" style="4"/>
    <col min="10" max="10" width="21.42578125" style="4" bestFit="1" customWidth="1"/>
    <col min="11" max="16384" width="9.140625" style="4"/>
  </cols>
  <sheetData>
    <row r="1" spans="1:12" x14ac:dyDescent="0.2">
      <c r="A1" s="160" t="s">
        <v>36</v>
      </c>
      <c r="B1" s="160"/>
      <c r="C1" s="160"/>
      <c r="D1" s="160"/>
      <c r="E1" s="160"/>
      <c r="F1" s="160"/>
      <c r="G1" s="160"/>
      <c r="H1" s="160"/>
      <c r="I1" s="160"/>
      <c r="J1" s="160"/>
    </row>
    <row r="2" spans="1:12" x14ac:dyDescent="0.2">
      <c r="A2" s="160" t="s">
        <v>37</v>
      </c>
      <c r="B2" s="160"/>
      <c r="C2" s="160"/>
      <c r="D2" s="160"/>
      <c r="E2" s="160"/>
      <c r="F2" s="160"/>
      <c r="G2" s="160"/>
      <c r="H2" s="160"/>
      <c r="I2" s="160"/>
      <c r="J2" s="160"/>
    </row>
    <row r="3" spans="1:12" s="103" customFormat="1" x14ac:dyDescent="0.2">
      <c r="A3" s="164" t="s">
        <v>32</v>
      </c>
      <c r="B3" s="163" t="s">
        <v>34</v>
      </c>
      <c r="C3" s="161" t="s">
        <v>28</v>
      </c>
      <c r="D3" s="161"/>
      <c r="E3" s="162" t="s">
        <v>29</v>
      </c>
      <c r="F3" s="162"/>
      <c r="G3" s="167" t="s">
        <v>35</v>
      </c>
      <c r="H3" s="168"/>
      <c r="I3" s="165" t="s">
        <v>73</v>
      </c>
      <c r="J3" s="158" t="s">
        <v>51</v>
      </c>
    </row>
    <row r="4" spans="1:12" s="103" customFormat="1" x14ac:dyDescent="0.2">
      <c r="A4" s="164"/>
      <c r="B4" s="163"/>
      <c r="C4" s="104" t="s">
        <v>21</v>
      </c>
      <c r="D4" s="105" t="s">
        <v>22</v>
      </c>
      <c r="E4" s="106" t="s">
        <v>31</v>
      </c>
      <c r="F4" s="107" t="s">
        <v>30</v>
      </c>
      <c r="G4" s="169"/>
      <c r="H4" s="170"/>
      <c r="I4" s="166"/>
      <c r="J4" s="159"/>
      <c r="K4" s="103" t="s">
        <v>158</v>
      </c>
    </row>
    <row r="5" spans="1:12" s="103" customFormat="1" x14ac:dyDescent="0.2">
      <c r="A5" s="63" t="s">
        <v>12</v>
      </c>
      <c r="B5" s="61">
        <v>0</v>
      </c>
      <c r="C5" s="68">
        <v>108</v>
      </c>
      <c r="D5" s="68">
        <v>108</v>
      </c>
      <c r="E5" s="106" t="s">
        <v>18</v>
      </c>
      <c r="F5" s="107">
        <f t="shared" ref="F5:F17" si="0">AfwBath</f>
        <v>0</v>
      </c>
      <c r="G5" s="108">
        <v>10</v>
      </c>
      <c r="H5" s="69" t="s">
        <v>72</v>
      </c>
      <c r="I5" s="64" t="s">
        <v>76</v>
      </c>
      <c r="J5" s="65" t="s">
        <v>52</v>
      </c>
      <c r="K5" s="68">
        <v>107</v>
      </c>
      <c r="L5" s="68">
        <v>107</v>
      </c>
    </row>
    <row r="6" spans="1:12" s="103" customFormat="1" x14ac:dyDescent="0.2">
      <c r="A6" s="63" t="s">
        <v>105</v>
      </c>
      <c r="B6" s="61">
        <v>3.8</v>
      </c>
      <c r="C6" s="68">
        <v>145</v>
      </c>
      <c r="D6" s="68">
        <v>145</v>
      </c>
      <c r="E6" s="106" t="s">
        <v>18</v>
      </c>
      <c r="F6" s="107">
        <f t="shared" si="0"/>
        <v>0</v>
      </c>
      <c r="G6" s="108">
        <v>10</v>
      </c>
      <c r="H6" s="69" t="s">
        <v>72</v>
      </c>
      <c r="I6" s="64" t="s">
        <v>76</v>
      </c>
      <c r="J6" s="65" t="s">
        <v>53</v>
      </c>
      <c r="K6" s="68">
        <v>145</v>
      </c>
      <c r="L6" s="68">
        <v>145</v>
      </c>
    </row>
    <row r="7" spans="1:12" s="103" customFormat="1" x14ac:dyDescent="0.2">
      <c r="A7" s="63" t="s">
        <v>104</v>
      </c>
      <c r="B7" s="61">
        <v>4.5</v>
      </c>
      <c r="C7" s="68">
        <v>145</v>
      </c>
      <c r="D7" s="68">
        <v>145</v>
      </c>
      <c r="E7" s="106" t="s">
        <v>18</v>
      </c>
      <c r="F7" s="107">
        <f t="shared" si="0"/>
        <v>0</v>
      </c>
      <c r="G7" s="108">
        <v>10</v>
      </c>
      <c r="H7" s="69" t="s">
        <v>72</v>
      </c>
      <c r="I7" s="64" t="s">
        <v>76</v>
      </c>
      <c r="J7" s="65" t="s">
        <v>53</v>
      </c>
      <c r="K7" s="68">
        <v>145</v>
      </c>
      <c r="L7" s="68">
        <v>145</v>
      </c>
    </row>
    <row r="8" spans="1:12" s="103" customFormat="1" x14ac:dyDescent="0.2">
      <c r="A8" s="63" t="s">
        <v>103</v>
      </c>
      <c r="B8" s="61">
        <v>5.0999999999999996</v>
      </c>
      <c r="C8" s="68">
        <v>141</v>
      </c>
      <c r="D8" s="68">
        <v>141</v>
      </c>
      <c r="E8" s="106" t="s">
        <v>18</v>
      </c>
      <c r="F8" s="107">
        <f t="shared" si="0"/>
        <v>0</v>
      </c>
      <c r="G8" s="108">
        <v>10</v>
      </c>
      <c r="H8" s="69" t="s">
        <v>72</v>
      </c>
      <c r="I8" s="64" t="s">
        <v>76</v>
      </c>
      <c r="J8" s="65" t="s">
        <v>53</v>
      </c>
      <c r="K8" s="68">
        <v>145</v>
      </c>
      <c r="L8" s="68">
        <v>145</v>
      </c>
    </row>
    <row r="9" spans="1:12" s="103" customFormat="1" x14ac:dyDescent="0.2">
      <c r="A9" s="63" t="s">
        <v>102</v>
      </c>
      <c r="B9" s="61">
        <v>6.7</v>
      </c>
      <c r="C9" s="68">
        <v>143</v>
      </c>
      <c r="D9" s="68">
        <v>143</v>
      </c>
      <c r="E9" s="106" t="s">
        <v>18</v>
      </c>
      <c r="F9" s="107">
        <f t="shared" si="0"/>
        <v>0</v>
      </c>
      <c r="G9" s="108">
        <v>10</v>
      </c>
      <c r="H9" s="69" t="s">
        <v>72</v>
      </c>
      <c r="I9" s="64" t="s">
        <v>76</v>
      </c>
      <c r="J9" s="65" t="s">
        <v>54</v>
      </c>
      <c r="K9" s="68">
        <v>153</v>
      </c>
      <c r="L9" s="68">
        <v>153</v>
      </c>
    </row>
    <row r="10" spans="1:12" s="103" customFormat="1" x14ac:dyDescent="0.2">
      <c r="A10" s="63" t="s">
        <v>101</v>
      </c>
      <c r="B10" s="61">
        <v>5.8</v>
      </c>
      <c r="C10" s="68">
        <v>145</v>
      </c>
      <c r="D10" s="68">
        <v>145</v>
      </c>
      <c r="E10" s="106" t="s">
        <v>18</v>
      </c>
      <c r="F10" s="107">
        <f t="shared" si="0"/>
        <v>0</v>
      </c>
      <c r="G10" s="108">
        <v>10</v>
      </c>
      <c r="H10" s="69" t="s">
        <v>72</v>
      </c>
      <c r="I10" s="64" t="s">
        <v>76</v>
      </c>
      <c r="J10" s="65" t="s">
        <v>54</v>
      </c>
      <c r="K10" s="68">
        <v>137</v>
      </c>
      <c r="L10" s="68">
        <v>137</v>
      </c>
    </row>
    <row r="11" spans="1:12" s="103" customFormat="1" x14ac:dyDescent="0.2">
      <c r="A11" s="63" t="s">
        <v>100</v>
      </c>
      <c r="B11" s="61">
        <v>6.2</v>
      </c>
      <c r="C11" s="68">
        <v>127</v>
      </c>
      <c r="D11" s="68">
        <v>127</v>
      </c>
      <c r="E11" s="106" t="s">
        <v>18</v>
      </c>
      <c r="F11" s="107">
        <f t="shared" si="0"/>
        <v>0</v>
      </c>
      <c r="G11" s="108">
        <v>10</v>
      </c>
      <c r="H11" s="69" t="s">
        <v>72</v>
      </c>
      <c r="I11" s="64" t="s">
        <v>76</v>
      </c>
      <c r="J11" s="65" t="s">
        <v>54</v>
      </c>
      <c r="K11" s="68">
        <v>128.9</v>
      </c>
      <c r="L11" s="68">
        <v>128.9</v>
      </c>
    </row>
    <row r="12" spans="1:12" s="103" customFormat="1" x14ac:dyDescent="0.2">
      <c r="A12" s="63" t="s">
        <v>99</v>
      </c>
      <c r="B12" s="61">
        <v>6.5</v>
      </c>
      <c r="C12" s="68">
        <v>129</v>
      </c>
      <c r="D12" s="68">
        <v>129</v>
      </c>
      <c r="E12" s="106" t="s">
        <v>18</v>
      </c>
      <c r="F12" s="107">
        <f t="shared" si="0"/>
        <v>0</v>
      </c>
      <c r="G12" s="108">
        <v>10</v>
      </c>
      <c r="H12" s="69" t="s">
        <v>72</v>
      </c>
      <c r="I12" s="64" t="s">
        <v>76</v>
      </c>
      <c r="J12" s="65" t="s">
        <v>54</v>
      </c>
      <c r="K12" s="68">
        <v>128.9</v>
      </c>
      <c r="L12" s="68">
        <v>128.9</v>
      </c>
    </row>
    <row r="13" spans="1:12" s="103" customFormat="1" x14ac:dyDescent="0.2">
      <c r="A13" s="63" t="s">
        <v>13</v>
      </c>
      <c r="B13" s="61">
        <v>7.8</v>
      </c>
      <c r="C13" s="68">
        <v>143</v>
      </c>
      <c r="D13" s="68">
        <v>143</v>
      </c>
      <c r="E13" s="106" t="s">
        <v>18</v>
      </c>
      <c r="F13" s="107">
        <f t="shared" si="0"/>
        <v>0</v>
      </c>
      <c r="G13" s="108">
        <v>10</v>
      </c>
      <c r="H13" s="69" t="s">
        <v>72</v>
      </c>
      <c r="I13" s="64" t="s">
        <v>76</v>
      </c>
      <c r="J13" s="65" t="s">
        <v>54</v>
      </c>
      <c r="K13" s="68">
        <v>145</v>
      </c>
      <c r="L13" s="68">
        <v>145</v>
      </c>
    </row>
    <row r="14" spans="1:12" s="103" customFormat="1" x14ac:dyDescent="0.2">
      <c r="A14" s="63" t="s">
        <v>23</v>
      </c>
      <c r="B14" s="61">
        <v>8.6999999999999993</v>
      </c>
      <c r="C14" s="68">
        <v>143</v>
      </c>
      <c r="D14" s="68">
        <v>143</v>
      </c>
      <c r="E14" s="106" t="s">
        <v>18</v>
      </c>
      <c r="F14" s="107">
        <f t="shared" si="0"/>
        <v>0</v>
      </c>
      <c r="G14" s="108">
        <v>12.5</v>
      </c>
      <c r="H14" s="69" t="s">
        <v>72</v>
      </c>
      <c r="I14" s="64" t="s">
        <v>23</v>
      </c>
      <c r="J14" s="65" t="s">
        <v>54</v>
      </c>
      <c r="K14" s="68">
        <v>145</v>
      </c>
      <c r="L14" s="68">
        <v>145</v>
      </c>
    </row>
    <row r="15" spans="1:12" s="103" customFormat="1" x14ac:dyDescent="0.2">
      <c r="A15" s="63" t="s">
        <v>18</v>
      </c>
      <c r="B15" s="61">
        <v>10.4</v>
      </c>
      <c r="C15" s="68">
        <v>143</v>
      </c>
      <c r="D15" s="68">
        <v>143</v>
      </c>
      <c r="E15" s="106" t="s">
        <v>18</v>
      </c>
      <c r="F15" s="107">
        <f t="shared" si="0"/>
        <v>0</v>
      </c>
      <c r="G15" s="108">
        <v>12.5</v>
      </c>
      <c r="H15" s="69" t="s">
        <v>72</v>
      </c>
      <c r="I15" s="109" t="s">
        <v>75</v>
      </c>
      <c r="J15" s="65" t="s">
        <v>55</v>
      </c>
      <c r="K15" s="68">
        <v>145</v>
      </c>
      <c r="L15" s="68">
        <v>145</v>
      </c>
    </row>
    <row r="16" spans="1:12" s="103" customFormat="1" x14ac:dyDescent="0.2">
      <c r="A16" s="63" t="s">
        <v>19</v>
      </c>
      <c r="B16" s="61">
        <v>12.9</v>
      </c>
      <c r="C16" s="68">
        <v>144</v>
      </c>
      <c r="D16" s="68">
        <v>145</v>
      </c>
      <c r="E16" s="106" t="s">
        <v>18</v>
      </c>
      <c r="F16" s="107">
        <f t="shared" si="0"/>
        <v>0</v>
      </c>
      <c r="G16" s="108">
        <v>12.5</v>
      </c>
      <c r="H16" s="69" t="s">
        <v>72</v>
      </c>
      <c r="I16" s="109" t="s">
        <v>75</v>
      </c>
      <c r="J16" s="65" t="s">
        <v>108</v>
      </c>
      <c r="K16" s="68">
        <v>145</v>
      </c>
      <c r="L16" s="68">
        <v>145</v>
      </c>
    </row>
    <row r="17" spans="1:12" s="103" customFormat="1" x14ac:dyDescent="0.2">
      <c r="A17" s="63" t="s">
        <v>98</v>
      </c>
      <c r="B17" s="61">
        <v>19.3</v>
      </c>
      <c r="C17" s="68">
        <v>143</v>
      </c>
      <c r="D17" s="68">
        <v>143</v>
      </c>
      <c r="E17" s="106" t="s">
        <v>18</v>
      </c>
      <c r="F17" s="107">
        <f t="shared" si="0"/>
        <v>0</v>
      </c>
      <c r="G17" s="108">
        <v>12.5</v>
      </c>
      <c r="H17" s="69" t="s">
        <v>72</v>
      </c>
      <c r="I17" s="109" t="s">
        <v>75</v>
      </c>
      <c r="J17" s="65" t="s">
        <v>110</v>
      </c>
      <c r="K17" s="68">
        <v>145</v>
      </c>
      <c r="L17" s="68">
        <v>145</v>
      </c>
    </row>
    <row r="18" spans="1:12" s="103" customFormat="1" x14ac:dyDescent="0.2">
      <c r="A18" s="63" t="s">
        <v>10</v>
      </c>
      <c r="B18" s="61">
        <v>20.86</v>
      </c>
      <c r="C18" s="68">
        <v>142</v>
      </c>
      <c r="D18" s="68">
        <v>142</v>
      </c>
      <c r="E18" s="106" t="s">
        <v>33</v>
      </c>
      <c r="F18" s="107">
        <f>(AfwBath+AfwVliss)/2</f>
        <v>0</v>
      </c>
      <c r="G18" s="108">
        <v>12.5</v>
      </c>
      <c r="H18" s="69" t="s">
        <v>72</v>
      </c>
      <c r="I18" s="109" t="s">
        <v>75</v>
      </c>
      <c r="J18" s="65" t="s">
        <v>56</v>
      </c>
      <c r="K18" s="68">
        <v>145</v>
      </c>
      <c r="L18" s="68">
        <v>145</v>
      </c>
    </row>
    <row r="19" spans="1:12" s="103" customFormat="1" x14ac:dyDescent="0.2">
      <c r="A19" s="63" t="s">
        <v>97</v>
      </c>
      <c r="B19" s="61">
        <v>23.09</v>
      </c>
      <c r="C19" s="68">
        <v>142</v>
      </c>
      <c r="D19" s="68">
        <v>142</v>
      </c>
      <c r="E19" s="106" t="s">
        <v>16</v>
      </c>
      <c r="F19" s="107">
        <f t="shared" ref="F19:F37" si="1">AfwVliss</f>
        <v>0</v>
      </c>
      <c r="G19" s="108">
        <v>12.5</v>
      </c>
      <c r="H19" s="69" t="s">
        <v>72</v>
      </c>
      <c r="I19" s="109" t="s">
        <v>75</v>
      </c>
      <c r="J19" s="65" t="s">
        <v>109</v>
      </c>
      <c r="K19" s="68">
        <v>145</v>
      </c>
      <c r="L19" s="68">
        <v>145</v>
      </c>
    </row>
    <row r="20" spans="1:12" s="103" customFormat="1" x14ac:dyDescent="0.2">
      <c r="A20" s="63" t="s">
        <v>20</v>
      </c>
      <c r="B20" s="61">
        <v>26</v>
      </c>
      <c r="C20" s="68">
        <v>138</v>
      </c>
      <c r="D20" s="68">
        <v>145</v>
      </c>
      <c r="E20" s="106" t="s">
        <v>16</v>
      </c>
      <c r="F20" s="107">
        <f t="shared" si="1"/>
        <v>0</v>
      </c>
      <c r="G20" s="108">
        <v>12.5</v>
      </c>
      <c r="H20" s="69" t="s">
        <v>72</v>
      </c>
      <c r="I20" s="109" t="s">
        <v>75</v>
      </c>
      <c r="J20" s="65" t="s">
        <v>57</v>
      </c>
      <c r="K20" s="68">
        <v>145</v>
      </c>
      <c r="L20" s="68">
        <v>145</v>
      </c>
    </row>
    <row r="21" spans="1:12" s="103" customFormat="1" x14ac:dyDescent="0.2">
      <c r="A21" s="63" t="s">
        <v>14</v>
      </c>
      <c r="B21" s="61">
        <v>30.42</v>
      </c>
      <c r="C21" s="68">
        <v>145</v>
      </c>
      <c r="D21" s="68">
        <v>145</v>
      </c>
      <c r="E21" s="106" t="s">
        <v>16</v>
      </c>
      <c r="F21" s="107">
        <f t="shared" si="1"/>
        <v>0</v>
      </c>
      <c r="G21" s="108">
        <v>12.5</v>
      </c>
      <c r="H21" s="69" t="s">
        <v>72</v>
      </c>
      <c r="I21" s="109" t="s">
        <v>75</v>
      </c>
      <c r="J21" s="65" t="s">
        <v>58</v>
      </c>
      <c r="K21" s="68">
        <v>145</v>
      </c>
      <c r="L21" s="68">
        <v>145</v>
      </c>
    </row>
    <row r="22" spans="1:12" s="103" customFormat="1" x14ac:dyDescent="0.2">
      <c r="A22" s="63" t="s">
        <v>15</v>
      </c>
      <c r="B22" s="61">
        <v>36.29</v>
      </c>
      <c r="C22" s="68">
        <v>146</v>
      </c>
      <c r="D22" s="68">
        <v>146</v>
      </c>
      <c r="E22" s="106" t="s">
        <v>16</v>
      </c>
      <c r="F22" s="107">
        <f t="shared" si="1"/>
        <v>0</v>
      </c>
      <c r="G22" s="108">
        <v>12.5</v>
      </c>
      <c r="H22" s="69" t="s">
        <v>72</v>
      </c>
      <c r="I22" s="109" t="s">
        <v>75</v>
      </c>
      <c r="J22" s="65" t="s">
        <v>59</v>
      </c>
      <c r="K22" s="68">
        <v>145</v>
      </c>
      <c r="L22" s="68">
        <v>145</v>
      </c>
    </row>
    <row r="23" spans="1:12" s="103" customFormat="1" x14ac:dyDescent="0.2">
      <c r="A23" s="63" t="s">
        <v>11</v>
      </c>
      <c r="B23" s="61">
        <v>36.94</v>
      </c>
      <c r="C23" s="68">
        <v>147</v>
      </c>
      <c r="D23" s="68">
        <v>147</v>
      </c>
      <c r="E23" s="106" t="s">
        <v>16</v>
      </c>
      <c r="F23" s="107">
        <f t="shared" si="1"/>
        <v>0</v>
      </c>
      <c r="G23" s="108">
        <v>12.5</v>
      </c>
      <c r="H23" s="69" t="s">
        <v>72</v>
      </c>
      <c r="I23" s="109" t="s">
        <v>75</v>
      </c>
      <c r="J23" s="65" t="s">
        <v>60</v>
      </c>
      <c r="K23" s="68">
        <v>145</v>
      </c>
      <c r="L23" s="68">
        <v>145</v>
      </c>
    </row>
    <row r="24" spans="1:12" s="103" customFormat="1" x14ac:dyDescent="0.2">
      <c r="A24" s="63" t="s">
        <v>160</v>
      </c>
      <c r="B24" s="110">
        <v>42</v>
      </c>
      <c r="C24" s="68">
        <v>160</v>
      </c>
      <c r="D24" s="68">
        <v>160</v>
      </c>
      <c r="E24" s="106" t="s">
        <v>16</v>
      </c>
      <c r="F24" s="107">
        <f t="shared" si="1"/>
        <v>0</v>
      </c>
      <c r="G24" s="108">
        <v>10</v>
      </c>
      <c r="H24" s="69" t="s">
        <v>72</v>
      </c>
      <c r="I24" s="109" t="s">
        <v>76</v>
      </c>
      <c r="J24" s="65" t="s">
        <v>60</v>
      </c>
      <c r="K24" s="68"/>
      <c r="L24" s="68"/>
    </row>
    <row r="25" spans="1:12" s="103" customFormat="1" x14ac:dyDescent="0.2">
      <c r="A25" s="63" t="s">
        <v>16</v>
      </c>
      <c r="B25" s="61">
        <v>44.04</v>
      </c>
      <c r="C25" s="68">
        <v>147</v>
      </c>
      <c r="D25" s="68">
        <v>147</v>
      </c>
      <c r="E25" s="106" t="s">
        <v>16</v>
      </c>
      <c r="F25" s="107">
        <f t="shared" si="1"/>
        <v>0</v>
      </c>
      <c r="G25" s="108">
        <v>12.5</v>
      </c>
      <c r="H25" s="69" t="s">
        <v>72</v>
      </c>
      <c r="I25" s="109" t="s">
        <v>75</v>
      </c>
      <c r="J25" s="65" t="s">
        <v>61</v>
      </c>
      <c r="K25" s="68">
        <v>145</v>
      </c>
      <c r="L25" s="68">
        <v>145</v>
      </c>
    </row>
    <row r="26" spans="1:12" s="103" customFormat="1" x14ac:dyDescent="0.2">
      <c r="A26" s="63" t="s">
        <v>112</v>
      </c>
      <c r="B26" s="61">
        <v>48.14</v>
      </c>
      <c r="C26" s="68">
        <v>147</v>
      </c>
      <c r="D26" s="68">
        <v>147</v>
      </c>
      <c r="E26" s="106" t="s">
        <v>16</v>
      </c>
      <c r="F26" s="107">
        <f t="shared" si="1"/>
        <v>0</v>
      </c>
      <c r="G26" s="108">
        <v>15</v>
      </c>
      <c r="H26" s="69" t="s">
        <v>72</v>
      </c>
      <c r="I26" s="64" t="s">
        <v>74</v>
      </c>
      <c r="J26" s="65" t="s">
        <v>111</v>
      </c>
      <c r="K26" s="68">
        <v>148.80000000000001</v>
      </c>
      <c r="L26" s="68">
        <v>148.80000000000001</v>
      </c>
    </row>
    <row r="27" spans="1:12" s="103" customFormat="1" x14ac:dyDescent="0.2">
      <c r="A27" s="63" t="s">
        <v>96</v>
      </c>
      <c r="B27" s="61">
        <v>50.05</v>
      </c>
      <c r="C27" s="68">
        <v>147</v>
      </c>
      <c r="D27" s="68">
        <v>147</v>
      </c>
      <c r="E27" s="106" t="s">
        <v>16</v>
      </c>
      <c r="F27" s="107">
        <f t="shared" si="1"/>
        <v>0</v>
      </c>
      <c r="G27" s="108">
        <v>15</v>
      </c>
      <c r="H27" s="69" t="s">
        <v>72</v>
      </c>
      <c r="I27" s="64" t="s">
        <v>74</v>
      </c>
      <c r="J27" s="65" t="s">
        <v>62</v>
      </c>
      <c r="K27" s="68">
        <v>148.80000000000001</v>
      </c>
      <c r="L27" s="68">
        <v>148.80000000000001</v>
      </c>
    </row>
    <row r="28" spans="1:12" s="103" customFormat="1" x14ac:dyDescent="0.2">
      <c r="A28" s="63" t="s">
        <v>95</v>
      </c>
      <c r="B28" s="61">
        <v>51.64</v>
      </c>
      <c r="C28" s="68">
        <v>152</v>
      </c>
      <c r="D28" s="68">
        <v>152</v>
      </c>
      <c r="E28" s="106" t="s">
        <v>16</v>
      </c>
      <c r="F28" s="107">
        <f t="shared" si="1"/>
        <v>0</v>
      </c>
      <c r="G28" s="108">
        <v>15</v>
      </c>
      <c r="H28" s="69" t="s">
        <v>72</v>
      </c>
      <c r="I28" s="64" t="s">
        <v>74</v>
      </c>
      <c r="J28" s="65" t="s">
        <v>62</v>
      </c>
      <c r="K28" s="68">
        <v>152.6</v>
      </c>
      <c r="L28" s="68">
        <v>152.6</v>
      </c>
    </row>
    <row r="29" spans="1:12" s="103" customFormat="1" x14ac:dyDescent="0.2">
      <c r="A29" s="63" t="s">
        <v>63</v>
      </c>
      <c r="B29" s="61">
        <v>54.38</v>
      </c>
      <c r="C29" s="68">
        <v>153</v>
      </c>
      <c r="D29" s="68">
        <v>153</v>
      </c>
      <c r="E29" s="106" t="s">
        <v>16</v>
      </c>
      <c r="F29" s="107">
        <f t="shared" si="1"/>
        <v>0</v>
      </c>
      <c r="G29" s="108">
        <v>15</v>
      </c>
      <c r="H29" s="69" t="s">
        <v>72</v>
      </c>
      <c r="I29" s="64" t="s">
        <v>74</v>
      </c>
      <c r="J29" s="65" t="s">
        <v>63</v>
      </c>
      <c r="K29" s="68">
        <v>153.6</v>
      </c>
      <c r="L29" s="68">
        <v>153.6</v>
      </c>
    </row>
    <row r="30" spans="1:12" s="103" customFormat="1" x14ac:dyDescent="0.2">
      <c r="A30" s="63" t="s">
        <v>94</v>
      </c>
      <c r="B30" s="61">
        <v>55.57</v>
      </c>
      <c r="C30" s="68">
        <v>156</v>
      </c>
      <c r="D30" s="68">
        <v>156</v>
      </c>
      <c r="E30" s="106" t="s">
        <v>16</v>
      </c>
      <c r="F30" s="107">
        <f t="shared" si="1"/>
        <v>0</v>
      </c>
      <c r="G30" s="108">
        <v>15</v>
      </c>
      <c r="H30" s="69" t="s">
        <v>72</v>
      </c>
      <c r="I30" s="64" t="s">
        <v>74</v>
      </c>
      <c r="J30" s="65" t="s">
        <v>63</v>
      </c>
      <c r="K30" s="68">
        <v>153.6</v>
      </c>
      <c r="L30" s="68">
        <v>153.6</v>
      </c>
    </row>
    <row r="31" spans="1:12" s="103" customFormat="1" x14ac:dyDescent="0.2">
      <c r="A31" s="63" t="s">
        <v>64</v>
      </c>
      <c r="B31" s="61">
        <v>59.52</v>
      </c>
      <c r="C31" s="68">
        <v>156</v>
      </c>
      <c r="D31" s="68">
        <v>156</v>
      </c>
      <c r="E31" s="106" t="s">
        <v>16</v>
      </c>
      <c r="F31" s="107">
        <f t="shared" si="1"/>
        <v>0</v>
      </c>
      <c r="G31" s="108">
        <v>15</v>
      </c>
      <c r="H31" s="69" t="s">
        <v>72</v>
      </c>
      <c r="I31" s="64" t="s">
        <v>74</v>
      </c>
      <c r="J31" s="65" t="s">
        <v>64</v>
      </c>
      <c r="K31" s="68">
        <v>154.6</v>
      </c>
      <c r="L31" s="68">
        <v>154.6</v>
      </c>
    </row>
    <row r="32" spans="1:12" s="103" customFormat="1" x14ac:dyDescent="0.2">
      <c r="A32" s="63" t="s">
        <v>65</v>
      </c>
      <c r="B32" s="61">
        <v>60.3</v>
      </c>
      <c r="C32" s="68">
        <v>156</v>
      </c>
      <c r="D32" s="68">
        <v>156</v>
      </c>
      <c r="E32" s="106" t="s">
        <v>16</v>
      </c>
      <c r="F32" s="107">
        <f t="shared" si="1"/>
        <v>0</v>
      </c>
      <c r="G32" s="108">
        <v>15</v>
      </c>
      <c r="H32" s="69" t="s">
        <v>72</v>
      </c>
      <c r="I32" s="64" t="s">
        <v>74</v>
      </c>
      <c r="J32" s="65" t="s">
        <v>65</v>
      </c>
      <c r="K32" s="68">
        <v>154.6</v>
      </c>
      <c r="L32" s="68">
        <v>154.6</v>
      </c>
    </row>
    <row r="33" spans="1:12" s="103" customFormat="1" x14ac:dyDescent="0.2">
      <c r="A33" s="63" t="s">
        <v>66</v>
      </c>
      <c r="B33" s="61">
        <v>63.91</v>
      </c>
      <c r="C33" s="68">
        <v>161</v>
      </c>
      <c r="D33" s="68">
        <v>161</v>
      </c>
      <c r="E33" s="106" t="s">
        <v>16</v>
      </c>
      <c r="F33" s="107">
        <f t="shared" si="1"/>
        <v>0</v>
      </c>
      <c r="G33" s="108">
        <v>15</v>
      </c>
      <c r="H33" s="69" t="s">
        <v>72</v>
      </c>
      <c r="I33" s="64" t="s">
        <v>74</v>
      </c>
      <c r="J33" s="65" t="s">
        <v>66</v>
      </c>
      <c r="K33" s="68">
        <v>161.6</v>
      </c>
      <c r="L33" s="68">
        <v>161.6</v>
      </c>
    </row>
    <row r="34" spans="1:12" s="103" customFormat="1" x14ac:dyDescent="0.2">
      <c r="A34" s="63" t="s">
        <v>93</v>
      </c>
      <c r="B34" s="61">
        <v>65.36</v>
      </c>
      <c r="C34" s="68">
        <v>161</v>
      </c>
      <c r="D34" s="68">
        <v>161</v>
      </c>
      <c r="E34" s="106" t="s">
        <v>16</v>
      </c>
      <c r="F34" s="107">
        <f t="shared" si="1"/>
        <v>0</v>
      </c>
      <c r="G34" s="108">
        <v>15</v>
      </c>
      <c r="H34" s="69" t="s">
        <v>72</v>
      </c>
      <c r="I34" s="64" t="s">
        <v>74</v>
      </c>
      <c r="J34" s="65" t="s">
        <v>67</v>
      </c>
      <c r="K34" s="68">
        <v>161.6</v>
      </c>
      <c r="L34" s="68">
        <v>161.6</v>
      </c>
    </row>
    <row r="35" spans="1:12" s="103" customFormat="1" x14ac:dyDescent="0.2">
      <c r="A35" s="63" t="s">
        <v>92</v>
      </c>
      <c r="B35" s="61">
        <v>68.569999999999993</v>
      </c>
      <c r="C35" s="68">
        <v>161</v>
      </c>
      <c r="D35" s="68">
        <v>161</v>
      </c>
      <c r="E35" s="106" t="s">
        <v>16</v>
      </c>
      <c r="F35" s="107">
        <f t="shared" si="1"/>
        <v>0</v>
      </c>
      <c r="G35" s="108">
        <v>15</v>
      </c>
      <c r="H35" s="69" t="s">
        <v>72</v>
      </c>
      <c r="I35" s="64" t="s">
        <v>74</v>
      </c>
      <c r="J35" s="65" t="s">
        <v>68</v>
      </c>
      <c r="K35" s="68">
        <v>161.4</v>
      </c>
      <c r="L35" s="68">
        <v>161.4</v>
      </c>
    </row>
    <row r="36" spans="1:12" s="103" customFormat="1" x14ac:dyDescent="0.2">
      <c r="A36" s="63" t="s">
        <v>91</v>
      </c>
      <c r="B36" s="61">
        <v>72.290000000000006</v>
      </c>
      <c r="C36" s="68">
        <v>180</v>
      </c>
      <c r="D36" s="68">
        <v>180</v>
      </c>
      <c r="E36" s="106" t="s">
        <v>16</v>
      </c>
      <c r="F36" s="107">
        <f t="shared" si="1"/>
        <v>0</v>
      </c>
      <c r="G36" s="108">
        <v>15</v>
      </c>
      <c r="H36" s="69" t="s">
        <v>72</v>
      </c>
      <c r="I36" s="64" t="s">
        <v>74</v>
      </c>
      <c r="J36" s="65" t="s">
        <v>91</v>
      </c>
      <c r="K36" s="68">
        <v>200</v>
      </c>
      <c r="L36" s="68">
        <v>200</v>
      </c>
    </row>
    <row r="37" spans="1:12" s="103" customFormat="1" x14ac:dyDescent="0.2">
      <c r="A37" s="63" t="s">
        <v>90</v>
      </c>
      <c r="B37" s="61">
        <v>77.790000000000006</v>
      </c>
      <c r="C37" s="68">
        <v>200</v>
      </c>
      <c r="D37" s="68">
        <v>200</v>
      </c>
      <c r="E37" s="106" t="s">
        <v>16</v>
      </c>
      <c r="F37" s="107">
        <f t="shared" si="1"/>
        <v>0</v>
      </c>
      <c r="G37" s="108">
        <v>15</v>
      </c>
      <c r="H37" s="69" t="s">
        <v>72</v>
      </c>
      <c r="I37" s="64" t="s">
        <v>74</v>
      </c>
      <c r="J37" s="65" t="s">
        <v>69</v>
      </c>
      <c r="K37" s="68">
        <v>200</v>
      </c>
      <c r="L37" s="68">
        <v>200</v>
      </c>
    </row>
  </sheetData>
  <sheetProtection selectLockedCells="1"/>
  <mergeCells count="9">
    <mergeCell ref="J3:J4"/>
    <mergeCell ref="A1:J1"/>
    <mergeCell ref="A2:J2"/>
    <mergeCell ref="C3:D3"/>
    <mergeCell ref="E3:F3"/>
    <mergeCell ref="B3:B4"/>
    <mergeCell ref="A3:A4"/>
    <mergeCell ref="I3:I4"/>
    <mergeCell ref="G3:H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G6"/>
  <sheetViews>
    <sheetView workbookViewId="0">
      <selection activeCell="D34" sqref="D34"/>
    </sheetView>
  </sheetViews>
  <sheetFormatPr defaultRowHeight="12.75" x14ac:dyDescent="0.2"/>
  <cols>
    <col min="1" max="1" width="21.85546875" customWidth="1"/>
    <col min="2" max="2" width="8.85546875" bestFit="1" customWidth="1"/>
    <col min="3" max="3" width="10.85546875" bestFit="1" customWidth="1"/>
    <col min="4" max="4" width="12.28515625" bestFit="1" customWidth="1"/>
    <col min="5" max="5" width="11" bestFit="1" customWidth="1"/>
    <col min="6" max="6" width="12.85546875" bestFit="1" customWidth="1"/>
  </cols>
  <sheetData>
    <row r="1" spans="1:7" s="62" customFormat="1" x14ac:dyDescent="0.2">
      <c r="A1" s="171" t="s">
        <v>88</v>
      </c>
      <c r="B1" s="171"/>
      <c r="C1" s="171"/>
      <c r="D1" s="171"/>
      <c r="E1" s="171"/>
      <c r="F1" s="171"/>
      <c r="G1" s="171"/>
    </row>
    <row r="2" spans="1:7" s="62" customFormat="1" x14ac:dyDescent="0.2">
      <c r="A2" s="171" t="s">
        <v>89</v>
      </c>
      <c r="B2" s="171"/>
      <c r="C2" s="171"/>
      <c r="D2" s="171"/>
      <c r="E2" s="171"/>
      <c r="F2" s="171"/>
      <c r="G2" s="171"/>
    </row>
    <row r="3" spans="1:7" x14ac:dyDescent="0.2">
      <c r="A3" s="60" t="s">
        <v>79</v>
      </c>
      <c r="B3" s="60" t="s">
        <v>80</v>
      </c>
      <c r="C3" s="60" t="s">
        <v>81</v>
      </c>
      <c r="D3" s="60" t="s">
        <v>82</v>
      </c>
      <c r="E3" s="60" t="s">
        <v>83</v>
      </c>
      <c r="F3" s="60" t="s">
        <v>84</v>
      </c>
    </row>
    <row r="4" spans="1:7" x14ac:dyDescent="0.2">
      <c r="A4" s="60" t="s">
        <v>85</v>
      </c>
      <c r="B4" s="60" t="s">
        <v>17</v>
      </c>
      <c r="C4" s="60">
        <v>15</v>
      </c>
      <c r="D4">
        <v>13</v>
      </c>
      <c r="E4" s="60">
        <v>9.5</v>
      </c>
      <c r="F4">
        <v>6</v>
      </c>
    </row>
    <row r="5" spans="1:7" x14ac:dyDescent="0.2">
      <c r="A5" s="60" t="s">
        <v>86</v>
      </c>
      <c r="B5" s="60" t="s">
        <v>87</v>
      </c>
      <c r="C5">
        <v>13</v>
      </c>
      <c r="D5">
        <v>12</v>
      </c>
      <c r="E5">
        <v>8</v>
      </c>
      <c r="F5">
        <v>5</v>
      </c>
    </row>
    <row r="6" spans="1:7" x14ac:dyDescent="0.2">
      <c r="A6" s="60"/>
      <c r="B6" s="60"/>
    </row>
  </sheetData>
  <mergeCells count="2">
    <mergeCell ref="A1:G1"/>
    <mergeCell ref="A2:G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X4"/>
  <sheetViews>
    <sheetView workbookViewId="0">
      <selection activeCell="A2" sqref="A2:XFD2"/>
    </sheetView>
  </sheetViews>
  <sheetFormatPr defaultRowHeight="12.75" x14ac:dyDescent="0.2"/>
  <cols>
    <col min="1" max="1" width="14.42578125" bestFit="1" customWidth="1"/>
    <col min="2" max="2" width="12.5703125" bestFit="1" customWidth="1"/>
    <col min="3" max="3" width="3.5703125" bestFit="1" customWidth="1"/>
    <col min="4" max="4" width="5" bestFit="1" customWidth="1"/>
    <col min="5" max="5" width="4.5703125" bestFit="1" customWidth="1"/>
    <col min="6" max="6" width="14.7109375" bestFit="1" customWidth="1"/>
    <col min="7" max="7" width="4.42578125" bestFit="1" customWidth="1"/>
    <col min="8" max="8" width="4" bestFit="1" customWidth="1"/>
    <col min="9" max="9" width="5" bestFit="1" customWidth="1"/>
    <col min="10" max="10" width="4.42578125" bestFit="1" customWidth="1"/>
    <col min="11" max="11" width="4" bestFit="1" customWidth="1"/>
    <col min="12" max="12" width="3.5703125" bestFit="1" customWidth="1"/>
    <col min="13" max="13" width="9.28515625" bestFit="1" customWidth="1"/>
    <col min="14" max="14" width="6.5703125" bestFit="1" customWidth="1"/>
    <col min="15" max="16" width="7.7109375" bestFit="1" customWidth="1"/>
    <col min="17" max="17" width="8.140625" bestFit="1" customWidth="1"/>
    <col min="18" max="18" width="3.140625" bestFit="1" customWidth="1"/>
    <col min="19" max="19" width="15" bestFit="1" customWidth="1"/>
    <col min="20" max="20" width="5.5703125" bestFit="1" customWidth="1"/>
    <col min="21" max="21" width="11.140625" bestFit="1" customWidth="1"/>
    <col min="22" max="24" width="10.140625" bestFit="1" customWidth="1"/>
  </cols>
  <sheetData>
    <row r="1" spans="1:24" s="83" customFormat="1" x14ac:dyDescent="0.2">
      <c r="A1" s="82" t="s">
        <v>114</v>
      </c>
      <c r="B1" s="83" t="s">
        <v>115</v>
      </c>
      <c r="C1" s="83" t="s">
        <v>116</v>
      </c>
      <c r="D1" s="83" t="s">
        <v>117</v>
      </c>
      <c r="E1" s="83" t="s">
        <v>118</v>
      </c>
      <c r="F1" s="83" t="s">
        <v>119</v>
      </c>
      <c r="G1" s="83" t="s">
        <v>120</v>
      </c>
      <c r="H1" s="83" t="s">
        <v>121</v>
      </c>
      <c r="I1" s="83" t="s">
        <v>122</v>
      </c>
      <c r="J1" s="83" t="s">
        <v>123</v>
      </c>
      <c r="K1" s="83" t="s">
        <v>124</v>
      </c>
      <c r="L1" s="83" t="s">
        <v>125</v>
      </c>
      <c r="M1" s="82" t="s">
        <v>126</v>
      </c>
      <c r="N1" s="83" t="s">
        <v>127</v>
      </c>
      <c r="O1" s="82" t="s">
        <v>128</v>
      </c>
      <c r="P1" s="82" t="s">
        <v>129</v>
      </c>
      <c r="Q1" s="82" t="s">
        <v>130</v>
      </c>
      <c r="R1" s="83" t="s">
        <v>131</v>
      </c>
      <c r="S1" s="83" t="s">
        <v>132</v>
      </c>
      <c r="T1" s="83" t="s">
        <v>132</v>
      </c>
      <c r="U1" s="83" t="s">
        <v>132</v>
      </c>
      <c r="V1" s="83" t="s">
        <v>133</v>
      </c>
      <c r="W1" s="83" t="s">
        <v>133</v>
      </c>
      <c r="X1" s="83" t="s">
        <v>133</v>
      </c>
    </row>
    <row r="2" spans="1:24" x14ac:dyDescent="0.2">
      <c r="A2" s="84"/>
      <c r="M2" s="10"/>
    </row>
    <row r="3" spans="1:24" x14ac:dyDescent="0.2">
      <c r="A3" s="7"/>
    </row>
    <row r="4" spans="1:24" x14ac:dyDescent="0.2">
      <c r="A4" s="6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C1423"/>
  <sheetViews>
    <sheetView topLeftCell="A343" workbookViewId="0">
      <selection activeCell="D361" sqref="D361:D371"/>
    </sheetView>
  </sheetViews>
  <sheetFormatPr defaultRowHeight="15" x14ac:dyDescent="0.25"/>
  <cols>
    <col min="1" max="1" width="13.5703125" style="113" bestFit="1" customWidth="1"/>
    <col min="2" max="2" width="6.28515625" style="114" bestFit="1" customWidth="1"/>
    <col min="3" max="3" width="4.140625" style="114" bestFit="1" customWidth="1"/>
    <col min="4" max="16384" width="9.140625" style="114"/>
  </cols>
  <sheetData>
    <row r="1" spans="1:3" x14ac:dyDescent="0.25">
      <c r="A1" s="113" t="s">
        <v>161</v>
      </c>
      <c r="B1" s="114" t="s">
        <v>162</v>
      </c>
      <c r="C1" s="114" t="s">
        <v>163</v>
      </c>
    </row>
    <row r="2" spans="1:3" x14ac:dyDescent="0.25">
      <c r="A2" s="115">
        <v>41637.15625</v>
      </c>
      <c r="B2" s="114">
        <v>10.8</v>
      </c>
      <c r="C2" s="114" t="s">
        <v>164</v>
      </c>
    </row>
    <row r="3" spans="1:3" x14ac:dyDescent="0.25">
      <c r="A3" s="115">
        <v>41637.418055555601</v>
      </c>
      <c r="B3" s="114">
        <v>44.7</v>
      </c>
      <c r="C3" s="114" t="s">
        <v>165</v>
      </c>
    </row>
    <row r="4" spans="1:3" x14ac:dyDescent="0.25">
      <c r="A4" s="115">
        <v>41637.680555555598</v>
      </c>
      <c r="B4" s="114">
        <v>8.6999999999999993</v>
      </c>
      <c r="C4" s="114" t="s">
        <v>164</v>
      </c>
    </row>
    <row r="5" spans="1:3" x14ac:dyDescent="0.25">
      <c r="A5" s="115">
        <v>41637.938888888901</v>
      </c>
      <c r="B5" s="114">
        <v>46.7</v>
      </c>
      <c r="C5" s="114" t="s">
        <v>165</v>
      </c>
    </row>
    <row r="6" spans="1:3" x14ac:dyDescent="0.25">
      <c r="A6" s="115">
        <v>41638.201388888898</v>
      </c>
      <c r="B6" s="114">
        <v>9.1</v>
      </c>
      <c r="C6" s="114" t="s">
        <v>164</v>
      </c>
    </row>
    <row r="7" spans="1:3" x14ac:dyDescent="0.25">
      <c r="A7" s="115">
        <v>41638.456250000003</v>
      </c>
      <c r="B7" s="114">
        <v>46.9</v>
      </c>
      <c r="C7" s="114" t="s">
        <v>165</v>
      </c>
    </row>
    <row r="8" spans="1:3" x14ac:dyDescent="0.25">
      <c r="A8" s="115">
        <v>41638.726388888899</v>
      </c>
      <c r="B8" s="114">
        <v>7.7</v>
      </c>
      <c r="C8" s="114" t="s">
        <v>164</v>
      </c>
    </row>
    <row r="9" spans="1:3" x14ac:dyDescent="0.25">
      <c r="A9" s="115">
        <v>41638.977083333302</v>
      </c>
      <c r="B9" s="114">
        <v>48.4</v>
      </c>
      <c r="C9" s="114" t="s">
        <v>165</v>
      </c>
    </row>
    <row r="10" spans="1:3" x14ac:dyDescent="0.25">
      <c r="A10" s="115">
        <v>41639.243750000001</v>
      </c>
      <c r="B10" s="114">
        <v>7.3</v>
      </c>
      <c r="C10" s="114" t="s">
        <v>164</v>
      </c>
    </row>
    <row r="11" spans="1:3" x14ac:dyDescent="0.25">
      <c r="A11" s="115">
        <v>41639.490277777797</v>
      </c>
      <c r="B11" s="114">
        <v>49.1</v>
      </c>
      <c r="C11" s="114" t="s">
        <v>165</v>
      </c>
    </row>
    <row r="12" spans="1:3" x14ac:dyDescent="0.25">
      <c r="A12" s="115">
        <v>41639.760416666701</v>
      </c>
      <c r="B12" s="114">
        <v>6.8</v>
      </c>
      <c r="C12" s="114" t="s">
        <v>164</v>
      </c>
    </row>
    <row r="13" spans="1:3" x14ac:dyDescent="0.25">
      <c r="A13" s="115">
        <v>41640.010416666701</v>
      </c>
      <c r="B13" s="114">
        <v>50</v>
      </c>
      <c r="C13" s="114" t="s">
        <v>165</v>
      </c>
    </row>
    <row r="14" spans="1:3" x14ac:dyDescent="0.25">
      <c r="A14" s="115">
        <v>41640.281944444403</v>
      </c>
      <c r="B14" s="114">
        <v>5.6</v>
      </c>
      <c r="C14" s="114" t="s">
        <v>164</v>
      </c>
    </row>
    <row r="15" spans="1:3" x14ac:dyDescent="0.25">
      <c r="A15" s="115">
        <v>41640.525000000001</v>
      </c>
      <c r="B15" s="114">
        <v>50.9</v>
      </c>
      <c r="C15" s="114" t="s">
        <v>165</v>
      </c>
    </row>
    <row r="16" spans="1:3" x14ac:dyDescent="0.25">
      <c r="A16" s="115">
        <v>41640.795833333301</v>
      </c>
      <c r="B16" s="114">
        <v>6.1</v>
      </c>
      <c r="C16" s="114" t="s">
        <v>164</v>
      </c>
    </row>
    <row r="17" spans="1:3" x14ac:dyDescent="0.25">
      <c r="A17" s="115">
        <v>41641.043749999997</v>
      </c>
      <c r="B17" s="114">
        <v>50.7</v>
      </c>
      <c r="C17" s="114" t="s">
        <v>165</v>
      </c>
    </row>
    <row r="18" spans="1:3" x14ac:dyDescent="0.25">
      <c r="A18" s="115">
        <v>41641.314583333296</v>
      </c>
      <c r="B18" s="114">
        <v>4.2</v>
      </c>
      <c r="C18" s="114" t="s">
        <v>164</v>
      </c>
    </row>
    <row r="19" spans="1:3" x14ac:dyDescent="0.25">
      <c r="A19" s="115">
        <v>41641.557638888902</v>
      </c>
      <c r="B19" s="114">
        <v>52</v>
      </c>
      <c r="C19" s="114" t="s">
        <v>165</v>
      </c>
    </row>
    <row r="20" spans="1:3" x14ac:dyDescent="0.25">
      <c r="A20" s="115">
        <v>41641.827777777798</v>
      </c>
      <c r="B20" s="114">
        <v>5.9</v>
      </c>
      <c r="C20" s="114" t="s">
        <v>164</v>
      </c>
    </row>
    <row r="21" spans="1:3" x14ac:dyDescent="0.25">
      <c r="A21" s="115">
        <v>41642.0756944444</v>
      </c>
      <c r="B21" s="114">
        <v>51</v>
      </c>
      <c r="C21" s="114" t="s">
        <v>165</v>
      </c>
    </row>
    <row r="22" spans="1:3" x14ac:dyDescent="0.25">
      <c r="A22" s="115">
        <v>41642.349305555603</v>
      </c>
      <c r="B22" s="114">
        <v>3.2</v>
      </c>
      <c r="C22" s="114" t="s">
        <v>164</v>
      </c>
    </row>
    <row r="23" spans="1:3" x14ac:dyDescent="0.25">
      <c r="A23" s="115">
        <v>41642.588888888902</v>
      </c>
      <c r="B23" s="114">
        <v>52.5</v>
      </c>
      <c r="C23" s="114" t="s">
        <v>165</v>
      </c>
    </row>
    <row r="24" spans="1:3" x14ac:dyDescent="0.25">
      <c r="A24" s="115">
        <v>41642.859722222202</v>
      </c>
      <c r="B24" s="114">
        <v>6.2</v>
      </c>
      <c r="C24" s="114" t="s">
        <v>164</v>
      </c>
    </row>
    <row r="25" spans="1:3" x14ac:dyDescent="0.25">
      <c r="A25" s="115">
        <v>41643.108333333301</v>
      </c>
      <c r="B25" s="114">
        <v>50.9</v>
      </c>
      <c r="C25" s="114" t="s">
        <v>165</v>
      </c>
    </row>
    <row r="26" spans="1:3" x14ac:dyDescent="0.25">
      <c r="A26" s="115">
        <v>41643.383333333302</v>
      </c>
      <c r="B26" s="114">
        <v>2.7</v>
      </c>
      <c r="C26" s="114" t="s">
        <v>164</v>
      </c>
    </row>
    <row r="27" spans="1:3" x14ac:dyDescent="0.25">
      <c r="A27" s="115">
        <v>41643.622916666704</v>
      </c>
      <c r="B27" s="114">
        <v>52.3</v>
      </c>
      <c r="C27" s="114" t="s">
        <v>165</v>
      </c>
    </row>
    <row r="28" spans="1:3" x14ac:dyDescent="0.25">
      <c r="A28" s="115">
        <v>41643.892361111102</v>
      </c>
      <c r="B28" s="114">
        <v>6.7</v>
      </c>
      <c r="C28" s="114" t="s">
        <v>164</v>
      </c>
    </row>
    <row r="29" spans="1:3" x14ac:dyDescent="0.25">
      <c r="A29" s="115">
        <v>41644.1430555556</v>
      </c>
      <c r="B29" s="114">
        <v>50.3</v>
      </c>
      <c r="C29" s="114" t="s">
        <v>165</v>
      </c>
    </row>
    <row r="30" spans="1:3" x14ac:dyDescent="0.25">
      <c r="A30" s="115">
        <v>41644.413888888899</v>
      </c>
      <c r="B30" s="114">
        <v>2.7</v>
      </c>
      <c r="C30" s="114" t="s">
        <v>164</v>
      </c>
    </row>
    <row r="31" spans="1:3" x14ac:dyDescent="0.25">
      <c r="A31" s="115">
        <v>41644.656944444403</v>
      </c>
      <c r="B31" s="114">
        <v>51.4</v>
      </c>
      <c r="C31" s="114" t="s">
        <v>165</v>
      </c>
    </row>
    <row r="32" spans="1:3" x14ac:dyDescent="0.25">
      <c r="A32" s="115">
        <v>41644.922222222202</v>
      </c>
      <c r="B32" s="114">
        <v>7.3</v>
      </c>
      <c r="C32" s="114" t="s">
        <v>164</v>
      </c>
    </row>
    <row r="33" spans="1:3" x14ac:dyDescent="0.25">
      <c r="A33" s="115">
        <v>41645.175000000003</v>
      </c>
      <c r="B33" s="114">
        <v>49.5</v>
      </c>
      <c r="C33" s="114" t="s">
        <v>165</v>
      </c>
    </row>
    <row r="34" spans="1:3" x14ac:dyDescent="0.25">
      <c r="A34" s="115">
        <v>41645.447916666701</v>
      </c>
      <c r="B34" s="114">
        <v>3.1</v>
      </c>
      <c r="C34" s="114" t="s">
        <v>164</v>
      </c>
    </row>
    <row r="35" spans="1:3" x14ac:dyDescent="0.25">
      <c r="A35" s="115">
        <v>41645.693749999999</v>
      </c>
      <c r="B35" s="114">
        <v>50</v>
      </c>
      <c r="C35" s="114" t="s">
        <v>165</v>
      </c>
    </row>
    <row r="36" spans="1:3" x14ac:dyDescent="0.25">
      <c r="A36" s="115">
        <v>41645.954861111102</v>
      </c>
      <c r="B36" s="114">
        <v>8.1999999999999993</v>
      </c>
      <c r="C36" s="114" t="s">
        <v>164</v>
      </c>
    </row>
    <row r="37" spans="1:3" x14ac:dyDescent="0.25">
      <c r="A37" s="115">
        <v>41646.211805555598</v>
      </c>
      <c r="B37" s="114">
        <v>48.2</v>
      </c>
      <c r="C37" s="114" t="s">
        <v>165</v>
      </c>
    </row>
    <row r="38" spans="1:3" x14ac:dyDescent="0.25">
      <c r="A38" s="115">
        <v>41646.483333333301</v>
      </c>
      <c r="B38" s="114">
        <v>4.2</v>
      </c>
      <c r="C38" s="114" t="s">
        <v>164</v>
      </c>
    </row>
    <row r="39" spans="1:3" x14ac:dyDescent="0.25">
      <c r="A39" s="115">
        <v>41646.732638888898</v>
      </c>
      <c r="B39" s="114">
        <v>48.1</v>
      </c>
      <c r="C39" s="114" t="s">
        <v>165</v>
      </c>
    </row>
    <row r="40" spans="1:3" x14ac:dyDescent="0.25">
      <c r="A40" s="115">
        <v>41646.990277777797</v>
      </c>
      <c r="B40" s="114">
        <v>9.3000000000000007</v>
      </c>
      <c r="C40" s="114" t="s">
        <v>164</v>
      </c>
    </row>
    <row r="41" spans="1:3" x14ac:dyDescent="0.25">
      <c r="A41" s="115">
        <v>41647.251388888901</v>
      </c>
      <c r="B41" s="114">
        <v>46.6</v>
      </c>
      <c r="C41" s="114" t="s">
        <v>165</v>
      </c>
    </row>
    <row r="42" spans="1:3" x14ac:dyDescent="0.25">
      <c r="A42" s="115">
        <v>41647.5180555556</v>
      </c>
      <c r="B42" s="114">
        <v>5.8</v>
      </c>
      <c r="C42" s="114" t="s">
        <v>164</v>
      </c>
    </row>
    <row r="43" spans="1:3" x14ac:dyDescent="0.25">
      <c r="A43" s="115">
        <v>41647.775000000001</v>
      </c>
      <c r="B43" s="114">
        <v>45.9</v>
      </c>
      <c r="C43" s="114" t="s">
        <v>165</v>
      </c>
    </row>
    <row r="44" spans="1:3" x14ac:dyDescent="0.25">
      <c r="A44" s="115">
        <v>41648.023611111101</v>
      </c>
      <c r="B44" s="114">
        <v>10.7</v>
      </c>
      <c r="C44" s="114" t="s">
        <v>164</v>
      </c>
    </row>
    <row r="45" spans="1:3" x14ac:dyDescent="0.25">
      <c r="A45" s="115">
        <v>41648.290972222203</v>
      </c>
      <c r="B45" s="114">
        <v>44.5</v>
      </c>
      <c r="C45" s="114" t="s">
        <v>165</v>
      </c>
    </row>
    <row r="46" spans="1:3" x14ac:dyDescent="0.25">
      <c r="A46" s="115">
        <v>41648.559027777803</v>
      </c>
      <c r="B46" s="114">
        <v>7.7</v>
      </c>
      <c r="C46" s="114" t="s">
        <v>164</v>
      </c>
    </row>
    <row r="47" spans="1:3" x14ac:dyDescent="0.25">
      <c r="A47" s="115">
        <v>41648.818749999999</v>
      </c>
      <c r="B47" s="114">
        <v>43.7</v>
      </c>
      <c r="C47" s="114" t="s">
        <v>165</v>
      </c>
    </row>
    <row r="48" spans="1:3" x14ac:dyDescent="0.25">
      <c r="A48" s="115">
        <v>41649.076388888898</v>
      </c>
      <c r="B48" s="114">
        <v>11.9</v>
      </c>
      <c r="C48" s="114" t="s">
        <v>164</v>
      </c>
    </row>
    <row r="49" spans="1:3" x14ac:dyDescent="0.25">
      <c r="A49" s="115">
        <v>41649.336805555598</v>
      </c>
      <c r="B49" s="114">
        <v>42.6</v>
      </c>
      <c r="C49" s="114" t="s">
        <v>165</v>
      </c>
    </row>
    <row r="50" spans="1:3" x14ac:dyDescent="0.25">
      <c r="A50" s="115">
        <v>41649.607638888898</v>
      </c>
      <c r="B50" s="114">
        <v>9.5</v>
      </c>
      <c r="C50" s="114" t="s">
        <v>164</v>
      </c>
    </row>
    <row r="51" spans="1:3" x14ac:dyDescent="0.25">
      <c r="A51" s="115">
        <v>41649.872222222199</v>
      </c>
      <c r="B51" s="114">
        <v>42.2</v>
      </c>
      <c r="C51" s="114" t="s">
        <v>165</v>
      </c>
    </row>
    <row r="52" spans="1:3" x14ac:dyDescent="0.25">
      <c r="A52" s="115">
        <v>41650.136111111096</v>
      </c>
      <c r="B52" s="114">
        <v>12.5</v>
      </c>
      <c r="C52" s="114" t="s">
        <v>164</v>
      </c>
    </row>
    <row r="53" spans="1:3" x14ac:dyDescent="0.25">
      <c r="A53" s="115">
        <v>41650.392361111102</v>
      </c>
      <c r="B53" s="114">
        <v>42</v>
      </c>
      <c r="C53" s="114" t="s">
        <v>165</v>
      </c>
    </row>
    <row r="54" spans="1:3" x14ac:dyDescent="0.25">
      <c r="A54" s="115">
        <v>41650.670833333301</v>
      </c>
      <c r="B54" s="114">
        <v>10.199999999999999</v>
      </c>
      <c r="C54" s="114" t="s">
        <v>164</v>
      </c>
    </row>
    <row r="55" spans="1:3" x14ac:dyDescent="0.25">
      <c r="A55" s="115">
        <v>41650.9243055556</v>
      </c>
      <c r="B55" s="114">
        <v>42.5</v>
      </c>
      <c r="C55" s="114" t="s">
        <v>165</v>
      </c>
    </row>
    <row r="56" spans="1:3" x14ac:dyDescent="0.25">
      <c r="A56" s="115">
        <v>41651.192361111098</v>
      </c>
      <c r="B56" s="114">
        <v>11.7</v>
      </c>
      <c r="C56" s="114" t="s">
        <v>164</v>
      </c>
    </row>
    <row r="57" spans="1:3" x14ac:dyDescent="0.25">
      <c r="A57" s="115">
        <v>41651.440972222197</v>
      </c>
      <c r="B57" s="114">
        <v>42.9</v>
      </c>
      <c r="C57" s="114" t="s">
        <v>165</v>
      </c>
    </row>
    <row r="58" spans="1:3" x14ac:dyDescent="0.25">
      <c r="A58" s="115">
        <v>41651.708333333299</v>
      </c>
      <c r="B58" s="114">
        <v>10</v>
      </c>
      <c r="C58" s="114" t="s">
        <v>164</v>
      </c>
    </row>
    <row r="59" spans="1:3" x14ac:dyDescent="0.25">
      <c r="A59" s="115">
        <v>41651.961805555598</v>
      </c>
      <c r="B59" s="114">
        <v>43.7</v>
      </c>
      <c r="C59" s="114" t="s">
        <v>165</v>
      </c>
    </row>
    <row r="60" spans="1:3" x14ac:dyDescent="0.25">
      <c r="A60" s="115">
        <v>41652.229166666701</v>
      </c>
      <c r="B60" s="114">
        <v>10.3</v>
      </c>
      <c r="C60" s="114" t="s">
        <v>164</v>
      </c>
    </row>
    <row r="61" spans="1:3" x14ac:dyDescent="0.25">
      <c r="A61" s="115">
        <v>41652.480555555601</v>
      </c>
      <c r="B61" s="114">
        <v>44.5</v>
      </c>
      <c r="C61" s="114" t="s">
        <v>165</v>
      </c>
    </row>
    <row r="62" spans="1:3" x14ac:dyDescent="0.25">
      <c r="A62" s="115">
        <v>41652.739583333299</v>
      </c>
      <c r="B62" s="114">
        <v>9.8000000000000007</v>
      </c>
      <c r="C62" s="114" t="s">
        <v>164</v>
      </c>
    </row>
    <row r="63" spans="1:3" x14ac:dyDescent="0.25">
      <c r="A63" s="115">
        <v>41652.997222222199</v>
      </c>
      <c r="B63" s="114">
        <v>45</v>
      </c>
      <c r="C63" s="114" t="s">
        <v>165</v>
      </c>
    </row>
    <row r="64" spans="1:3" x14ac:dyDescent="0.25">
      <c r="A64" s="115">
        <v>41653.261111111096</v>
      </c>
      <c r="B64" s="114">
        <v>9.1</v>
      </c>
      <c r="C64" s="114" t="s">
        <v>164</v>
      </c>
    </row>
    <row r="65" spans="1:3" x14ac:dyDescent="0.25">
      <c r="A65" s="115">
        <v>41653.513888888898</v>
      </c>
      <c r="B65" s="114">
        <v>45.8</v>
      </c>
      <c r="C65" s="114" t="s">
        <v>165</v>
      </c>
    </row>
    <row r="66" spans="1:3" x14ac:dyDescent="0.25">
      <c r="A66" s="115">
        <v>41653.767361111102</v>
      </c>
      <c r="B66" s="114">
        <v>9.6</v>
      </c>
      <c r="C66" s="114" t="s">
        <v>164</v>
      </c>
    </row>
    <row r="67" spans="1:3" x14ac:dyDescent="0.25">
      <c r="A67" s="115">
        <v>41654.027083333298</v>
      </c>
      <c r="B67" s="114">
        <v>46</v>
      </c>
      <c r="C67" s="114" t="s">
        <v>165</v>
      </c>
    </row>
    <row r="68" spans="1:3" x14ac:dyDescent="0.25">
      <c r="A68" s="115">
        <v>41654.284027777801</v>
      </c>
      <c r="B68" s="114">
        <v>8.1</v>
      </c>
      <c r="C68" s="114" t="s">
        <v>164</v>
      </c>
    </row>
    <row r="69" spans="1:3" x14ac:dyDescent="0.25">
      <c r="A69" s="115">
        <v>41654.5402777778</v>
      </c>
      <c r="B69" s="114">
        <v>46.8</v>
      </c>
      <c r="C69" s="114" t="s">
        <v>165</v>
      </c>
    </row>
    <row r="70" spans="1:3" x14ac:dyDescent="0.25">
      <c r="A70" s="115">
        <v>41654.795833333301</v>
      </c>
      <c r="B70" s="114">
        <v>9.4</v>
      </c>
      <c r="C70" s="114" t="s">
        <v>164</v>
      </c>
    </row>
    <row r="71" spans="1:3" x14ac:dyDescent="0.25">
      <c r="A71" s="115">
        <v>41655.052083333299</v>
      </c>
      <c r="B71" s="114">
        <v>46.7</v>
      </c>
      <c r="C71" s="114" t="s">
        <v>165</v>
      </c>
    </row>
    <row r="72" spans="1:3" x14ac:dyDescent="0.25">
      <c r="A72" s="115">
        <v>41655.311111111099</v>
      </c>
      <c r="B72" s="114">
        <v>7.2</v>
      </c>
      <c r="C72" s="114" t="s">
        <v>164</v>
      </c>
    </row>
    <row r="73" spans="1:3" x14ac:dyDescent="0.25">
      <c r="A73" s="115">
        <v>41655.561805555597</v>
      </c>
      <c r="B73" s="114">
        <v>47.6</v>
      </c>
      <c r="C73" s="114" t="s">
        <v>165</v>
      </c>
    </row>
    <row r="74" spans="1:3" x14ac:dyDescent="0.25">
      <c r="A74" s="115">
        <v>41655.816666666702</v>
      </c>
      <c r="B74" s="114">
        <v>8.9</v>
      </c>
      <c r="C74" s="114" t="s">
        <v>164</v>
      </c>
    </row>
    <row r="75" spans="1:3" x14ac:dyDescent="0.25">
      <c r="A75" s="115">
        <v>41656.072916666701</v>
      </c>
      <c r="B75" s="114">
        <v>47.4</v>
      </c>
      <c r="C75" s="114" t="s">
        <v>165</v>
      </c>
    </row>
    <row r="76" spans="1:3" x14ac:dyDescent="0.25">
      <c r="A76" s="115">
        <v>41656.334027777797</v>
      </c>
      <c r="B76" s="114">
        <v>6.4</v>
      </c>
      <c r="C76" s="114" t="s">
        <v>164</v>
      </c>
    </row>
    <row r="77" spans="1:3" x14ac:dyDescent="0.25">
      <c r="A77" s="115">
        <v>41656.584027777797</v>
      </c>
      <c r="B77" s="114">
        <v>48.5</v>
      </c>
      <c r="C77" s="114" t="s">
        <v>165</v>
      </c>
    </row>
    <row r="78" spans="1:3" x14ac:dyDescent="0.25">
      <c r="A78" s="115">
        <v>41656.840277777803</v>
      </c>
      <c r="B78" s="114">
        <v>8.4</v>
      </c>
      <c r="C78" s="114" t="s">
        <v>164</v>
      </c>
    </row>
    <row r="79" spans="1:3" x14ac:dyDescent="0.25">
      <c r="A79" s="115">
        <v>41657.09375</v>
      </c>
      <c r="B79" s="114">
        <v>48.1</v>
      </c>
      <c r="C79" s="114" t="s">
        <v>165</v>
      </c>
    </row>
    <row r="80" spans="1:3" x14ac:dyDescent="0.25">
      <c r="A80" s="115">
        <v>41657.361111111102</v>
      </c>
      <c r="B80" s="114">
        <v>5.8</v>
      </c>
      <c r="C80" s="114" t="s">
        <v>164</v>
      </c>
    </row>
    <row r="81" spans="1:3" x14ac:dyDescent="0.25">
      <c r="A81" s="115">
        <v>41657.607638888898</v>
      </c>
      <c r="B81" s="114">
        <v>48.9</v>
      </c>
      <c r="C81" s="114" t="s">
        <v>165</v>
      </c>
    </row>
    <row r="82" spans="1:3" x14ac:dyDescent="0.25">
      <c r="A82" s="115">
        <v>41657.865277777797</v>
      </c>
      <c r="B82" s="114">
        <v>8.1999999999999993</v>
      </c>
      <c r="C82" s="114" t="s">
        <v>164</v>
      </c>
    </row>
    <row r="83" spans="1:3" x14ac:dyDescent="0.25">
      <c r="A83" s="115">
        <v>41658.117361111101</v>
      </c>
      <c r="B83" s="114">
        <v>48.3</v>
      </c>
      <c r="C83" s="114" t="s">
        <v>165</v>
      </c>
    </row>
    <row r="84" spans="1:3" x14ac:dyDescent="0.25">
      <c r="A84" s="115">
        <v>41658.385416666701</v>
      </c>
      <c r="B84" s="114">
        <v>5.7</v>
      </c>
      <c r="C84" s="114" t="s">
        <v>164</v>
      </c>
    </row>
    <row r="85" spans="1:3" x14ac:dyDescent="0.25">
      <c r="A85" s="115">
        <v>41658.629166666702</v>
      </c>
      <c r="B85" s="114">
        <v>48.8</v>
      </c>
      <c r="C85" s="114" t="s">
        <v>165</v>
      </c>
    </row>
    <row r="86" spans="1:3" x14ac:dyDescent="0.25">
      <c r="A86" s="115">
        <v>41658.886111111096</v>
      </c>
      <c r="B86" s="114">
        <v>8.4</v>
      </c>
      <c r="C86" s="114" t="s">
        <v>164</v>
      </c>
    </row>
    <row r="87" spans="1:3" x14ac:dyDescent="0.25">
      <c r="A87" s="115">
        <v>41659.139583333301</v>
      </c>
      <c r="B87" s="114">
        <v>47.8</v>
      </c>
      <c r="C87" s="114" t="s">
        <v>165</v>
      </c>
    </row>
    <row r="88" spans="1:3" x14ac:dyDescent="0.25">
      <c r="A88" s="115">
        <v>41659.409722222197</v>
      </c>
      <c r="B88" s="114">
        <v>6</v>
      </c>
      <c r="C88" s="114" t="s">
        <v>164</v>
      </c>
    </row>
    <row r="89" spans="1:3" x14ac:dyDescent="0.25">
      <c r="A89" s="115">
        <v>41659.650694444397</v>
      </c>
      <c r="B89" s="114">
        <v>48.2</v>
      </c>
      <c r="C89" s="114" t="s">
        <v>165</v>
      </c>
    </row>
    <row r="90" spans="1:3" x14ac:dyDescent="0.25">
      <c r="A90" s="115">
        <v>41659.90625</v>
      </c>
      <c r="B90" s="114">
        <v>8.8000000000000007</v>
      </c>
      <c r="C90" s="114" t="s">
        <v>164</v>
      </c>
    </row>
    <row r="91" spans="1:3" x14ac:dyDescent="0.25">
      <c r="A91" s="115">
        <v>41660.163194444402</v>
      </c>
      <c r="B91" s="114">
        <v>47</v>
      </c>
      <c r="C91" s="114" t="s">
        <v>165</v>
      </c>
    </row>
    <row r="92" spans="1:3" x14ac:dyDescent="0.25">
      <c r="A92" s="115">
        <v>41660.430555555598</v>
      </c>
      <c r="B92" s="114">
        <v>6.5</v>
      </c>
      <c r="C92" s="114" t="s">
        <v>164</v>
      </c>
    </row>
    <row r="93" spans="1:3" x14ac:dyDescent="0.25">
      <c r="A93" s="115">
        <v>41660.671527777798</v>
      </c>
      <c r="B93" s="114">
        <v>47.5</v>
      </c>
      <c r="C93" s="114" t="s">
        <v>165</v>
      </c>
    </row>
    <row r="94" spans="1:3" x14ac:dyDescent="0.25">
      <c r="A94" s="115">
        <v>41660.929861111101</v>
      </c>
      <c r="B94" s="114">
        <v>9</v>
      </c>
      <c r="C94" s="114" t="s">
        <v>164</v>
      </c>
    </row>
    <row r="95" spans="1:3" x14ac:dyDescent="0.25">
      <c r="A95" s="115">
        <v>41661.184722222199</v>
      </c>
      <c r="B95" s="114">
        <v>46.3</v>
      </c>
      <c r="C95" s="114" t="s">
        <v>165</v>
      </c>
    </row>
    <row r="96" spans="1:3" x14ac:dyDescent="0.25">
      <c r="A96" s="115">
        <v>41661.4555555556</v>
      </c>
      <c r="B96" s="114">
        <v>6.9</v>
      </c>
      <c r="C96" s="114" t="s">
        <v>164</v>
      </c>
    </row>
    <row r="97" spans="1:3" x14ac:dyDescent="0.25">
      <c r="A97" s="115">
        <v>41661.697916666701</v>
      </c>
      <c r="B97" s="114">
        <v>46.8</v>
      </c>
      <c r="C97" s="114" t="s">
        <v>165</v>
      </c>
    </row>
    <row r="98" spans="1:3" x14ac:dyDescent="0.25">
      <c r="A98" s="115">
        <v>41661.9555555556</v>
      </c>
      <c r="B98" s="114">
        <v>9.1999999999999993</v>
      </c>
      <c r="C98" s="114" t="s">
        <v>164</v>
      </c>
    </row>
    <row r="99" spans="1:3" x14ac:dyDescent="0.25">
      <c r="A99" s="115">
        <v>41662.211805555598</v>
      </c>
      <c r="B99" s="114">
        <v>45.6</v>
      </c>
      <c r="C99" s="114" t="s">
        <v>165</v>
      </c>
    </row>
    <row r="100" spans="1:3" x14ac:dyDescent="0.25">
      <c r="A100" s="115">
        <v>41662.479166666701</v>
      </c>
      <c r="B100" s="114">
        <v>7.2</v>
      </c>
      <c r="C100" s="114" t="s">
        <v>164</v>
      </c>
    </row>
    <row r="101" spans="1:3" x14ac:dyDescent="0.25">
      <c r="A101" s="115">
        <v>41662.728472222203</v>
      </c>
      <c r="B101" s="114">
        <v>45.8</v>
      </c>
      <c r="C101" s="114" t="s">
        <v>165</v>
      </c>
    </row>
    <row r="102" spans="1:3" x14ac:dyDescent="0.25">
      <c r="A102" s="115">
        <v>41662.990277777797</v>
      </c>
      <c r="B102" s="114">
        <v>9.6</v>
      </c>
      <c r="C102" s="114" t="s">
        <v>164</v>
      </c>
    </row>
    <row r="103" spans="1:3" x14ac:dyDescent="0.25">
      <c r="A103" s="115">
        <v>41663.247222222199</v>
      </c>
      <c r="B103" s="114">
        <v>44.4</v>
      </c>
      <c r="C103" s="114" t="s">
        <v>165</v>
      </c>
    </row>
    <row r="104" spans="1:3" x14ac:dyDescent="0.25">
      <c r="A104" s="115">
        <v>41663.514583333301</v>
      </c>
      <c r="B104" s="114">
        <v>7.9</v>
      </c>
      <c r="C104" s="114" t="s">
        <v>164</v>
      </c>
    </row>
    <row r="105" spans="1:3" x14ac:dyDescent="0.25">
      <c r="A105" s="115">
        <v>41663.770138888904</v>
      </c>
      <c r="B105" s="114">
        <v>44.4</v>
      </c>
      <c r="C105" s="114" t="s">
        <v>165</v>
      </c>
    </row>
    <row r="106" spans="1:3" x14ac:dyDescent="0.25">
      <c r="A106" s="115">
        <v>41664.027777777803</v>
      </c>
      <c r="B106" s="114">
        <v>10.3</v>
      </c>
      <c r="C106" s="114" t="s">
        <v>164</v>
      </c>
    </row>
    <row r="107" spans="1:3" x14ac:dyDescent="0.25">
      <c r="A107" s="115">
        <v>41664.295833333301</v>
      </c>
      <c r="B107" s="114">
        <v>43</v>
      </c>
      <c r="C107" s="114" t="s">
        <v>165</v>
      </c>
    </row>
    <row r="108" spans="1:3" x14ac:dyDescent="0.25">
      <c r="A108" s="115">
        <v>41664.554861111101</v>
      </c>
      <c r="B108" s="114">
        <v>8.9</v>
      </c>
      <c r="C108" s="114" t="s">
        <v>164</v>
      </c>
    </row>
    <row r="109" spans="1:3" x14ac:dyDescent="0.25">
      <c r="A109" s="115">
        <v>41664.824999999997</v>
      </c>
      <c r="B109" s="114">
        <v>43.4</v>
      </c>
      <c r="C109" s="114" t="s">
        <v>165</v>
      </c>
    </row>
    <row r="110" spans="1:3" x14ac:dyDescent="0.25">
      <c r="A110" s="115">
        <v>41665.0805555556</v>
      </c>
      <c r="B110" s="114">
        <v>11</v>
      </c>
      <c r="C110" s="114" t="s">
        <v>164</v>
      </c>
    </row>
    <row r="111" spans="1:3" x14ac:dyDescent="0.25">
      <c r="A111" s="115">
        <v>41665.347222222197</v>
      </c>
      <c r="B111" s="114">
        <v>42.6</v>
      </c>
      <c r="C111" s="114" t="s">
        <v>165</v>
      </c>
    </row>
    <row r="112" spans="1:3" x14ac:dyDescent="0.25">
      <c r="A112" s="115">
        <v>41665.609722222202</v>
      </c>
      <c r="B112" s="114">
        <v>9.5</v>
      </c>
      <c r="C112" s="114" t="s">
        <v>164</v>
      </c>
    </row>
    <row r="113" spans="1:3" x14ac:dyDescent="0.25">
      <c r="A113" s="115">
        <v>41665.875694444403</v>
      </c>
      <c r="B113" s="114">
        <v>43.3</v>
      </c>
      <c r="C113" s="114" t="s">
        <v>165</v>
      </c>
    </row>
    <row r="114" spans="1:3" x14ac:dyDescent="0.25">
      <c r="A114" s="115">
        <v>41666.135416666701</v>
      </c>
      <c r="B114" s="114">
        <v>10.6</v>
      </c>
      <c r="C114" s="114" t="s">
        <v>164</v>
      </c>
    </row>
    <row r="115" spans="1:3" x14ac:dyDescent="0.25">
      <c r="A115" s="115">
        <v>41666.400000000001</v>
      </c>
      <c r="B115" s="114">
        <v>43.4</v>
      </c>
      <c r="C115" s="114" t="s">
        <v>165</v>
      </c>
    </row>
    <row r="116" spans="1:3" x14ac:dyDescent="0.25">
      <c r="A116" s="115">
        <v>41666.659722222197</v>
      </c>
      <c r="B116" s="114">
        <v>9.3000000000000007</v>
      </c>
      <c r="C116" s="114" t="s">
        <v>164</v>
      </c>
    </row>
    <row r="117" spans="1:3" x14ac:dyDescent="0.25">
      <c r="A117" s="115">
        <v>41666.922222222202</v>
      </c>
      <c r="B117" s="114">
        <v>44.4</v>
      </c>
      <c r="C117" s="114" t="s">
        <v>165</v>
      </c>
    </row>
    <row r="118" spans="1:3" x14ac:dyDescent="0.25">
      <c r="A118" s="115">
        <v>41667.191666666702</v>
      </c>
      <c r="B118" s="114">
        <v>9.3000000000000007</v>
      </c>
      <c r="C118" s="114" t="s">
        <v>164</v>
      </c>
    </row>
    <row r="119" spans="1:3" x14ac:dyDescent="0.25">
      <c r="A119" s="115">
        <v>41667.443055555603</v>
      </c>
      <c r="B119" s="114">
        <v>45.5</v>
      </c>
      <c r="C119" s="114" t="s">
        <v>165</v>
      </c>
    </row>
    <row r="120" spans="1:3" x14ac:dyDescent="0.25">
      <c r="A120" s="115">
        <v>41667.708333333299</v>
      </c>
      <c r="B120" s="114">
        <v>8.4</v>
      </c>
      <c r="C120" s="114" t="s">
        <v>164</v>
      </c>
    </row>
    <row r="121" spans="1:3" x14ac:dyDescent="0.25">
      <c r="A121" s="115">
        <v>41667.966666666704</v>
      </c>
      <c r="B121" s="114">
        <v>46.3</v>
      </c>
      <c r="C121" s="114" t="s">
        <v>165</v>
      </c>
    </row>
    <row r="122" spans="1:3" x14ac:dyDescent="0.25">
      <c r="A122" s="115">
        <v>41668.230555555601</v>
      </c>
      <c r="B122" s="114">
        <v>7.2</v>
      </c>
      <c r="C122" s="114" t="s">
        <v>164</v>
      </c>
    </row>
    <row r="123" spans="1:3" x14ac:dyDescent="0.25">
      <c r="A123" s="115">
        <v>41668.483333333301</v>
      </c>
      <c r="B123" s="114">
        <v>47.9</v>
      </c>
      <c r="C123" s="114" t="s">
        <v>165</v>
      </c>
    </row>
    <row r="124" spans="1:3" x14ac:dyDescent="0.25">
      <c r="A124" s="115">
        <v>41668.750694444403</v>
      </c>
      <c r="B124" s="114">
        <v>7.3</v>
      </c>
      <c r="C124" s="114" t="s">
        <v>164</v>
      </c>
    </row>
    <row r="125" spans="1:3" x14ac:dyDescent="0.25">
      <c r="A125" s="115">
        <v>41669</v>
      </c>
      <c r="B125" s="114">
        <v>48.3</v>
      </c>
      <c r="C125" s="114" t="s">
        <v>165</v>
      </c>
    </row>
    <row r="126" spans="1:3" x14ac:dyDescent="0.25">
      <c r="A126" s="115">
        <v>41669.2722222222</v>
      </c>
      <c r="B126" s="114">
        <v>5.0999999999999996</v>
      </c>
      <c r="C126" s="114" t="s">
        <v>164</v>
      </c>
    </row>
    <row r="127" spans="1:3" x14ac:dyDescent="0.25">
      <c r="A127" s="115">
        <v>41669.517361111102</v>
      </c>
      <c r="B127" s="114">
        <v>50.1</v>
      </c>
      <c r="C127" s="114" t="s">
        <v>165</v>
      </c>
    </row>
    <row r="128" spans="1:3" x14ac:dyDescent="0.25">
      <c r="A128" s="115">
        <v>41669.783333333296</v>
      </c>
      <c r="B128" s="114">
        <v>6.4</v>
      </c>
      <c r="C128" s="114" t="s">
        <v>164</v>
      </c>
    </row>
    <row r="129" spans="1:3" x14ac:dyDescent="0.25">
      <c r="A129" s="115">
        <v>41670.031944444403</v>
      </c>
      <c r="B129" s="114">
        <v>49.8</v>
      </c>
      <c r="C129" s="114" t="s">
        <v>165</v>
      </c>
    </row>
    <row r="130" spans="1:3" x14ac:dyDescent="0.25">
      <c r="A130" s="115">
        <v>41670.306944444397</v>
      </c>
      <c r="B130" s="114">
        <v>3.4</v>
      </c>
      <c r="C130" s="114" t="s">
        <v>164</v>
      </c>
    </row>
    <row r="131" spans="1:3" x14ac:dyDescent="0.25">
      <c r="A131" s="115">
        <v>41670.547916666699</v>
      </c>
      <c r="B131" s="114">
        <v>51.7</v>
      </c>
      <c r="C131" s="114" t="s">
        <v>165</v>
      </c>
    </row>
    <row r="132" spans="1:3" x14ac:dyDescent="0.25">
      <c r="A132" s="115">
        <v>41670.817361111098</v>
      </c>
      <c r="B132" s="114">
        <v>5.9</v>
      </c>
      <c r="C132" s="114" t="s">
        <v>164</v>
      </c>
    </row>
    <row r="133" spans="1:3" x14ac:dyDescent="0.25">
      <c r="A133" s="115">
        <v>41671.065972222197</v>
      </c>
      <c r="B133" s="114">
        <v>51</v>
      </c>
      <c r="C133" s="114" t="s">
        <v>165</v>
      </c>
    </row>
    <row r="134" spans="1:3" x14ac:dyDescent="0.25">
      <c r="A134" s="115">
        <v>41671.338194444397</v>
      </c>
      <c r="B134" s="114">
        <v>2.2000000000000002</v>
      </c>
      <c r="C134" s="114" t="s">
        <v>164</v>
      </c>
    </row>
    <row r="135" spans="1:3" x14ac:dyDescent="0.25">
      <c r="A135" s="115">
        <v>41671.578472222202</v>
      </c>
      <c r="B135" s="114">
        <v>52.6</v>
      </c>
      <c r="C135" s="114" t="s">
        <v>165</v>
      </c>
    </row>
    <row r="136" spans="1:3" x14ac:dyDescent="0.25">
      <c r="A136" s="115">
        <v>41671.848611111098</v>
      </c>
      <c r="B136" s="114">
        <v>5.8</v>
      </c>
      <c r="C136" s="114" t="s">
        <v>164</v>
      </c>
    </row>
    <row r="137" spans="1:3" x14ac:dyDescent="0.25">
      <c r="A137" s="115">
        <v>41672.094444444403</v>
      </c>
      <c r="B137" s="114">
        <v>51.5</v>
      </c>
      <c r="C137" s="114" t="s">
        <v>165</v>
      </c>
    </row>
    <row r="138" spans="1:3" x14ac:dyDescent="0.25">
      <c r="A138" s="115">
        <v>41672.371527777803</v>
      </c>
      <c r="B138" s="114">
        <v>1.6</v>
      </c>
      <c r="C138" s="114" t="s">
        <v>164</v>
      </c>
    </row>
    <row r="139" spans="1:3" x14ac:dyDescent="0.25">
      <c r="A139" s="115">
        <v>41672.611111111102</v>
      </c>
      <c r="B139" s="114">
        <v>52.7</v>
      </c>
      <c r="C139" s="114" t="s">
        <v>165</v>
      </c>
    </row>
    <row r="140" spans="1:3" x14ac:dyDescent="0.25">
      <c r="A140" s="115">
        <v>41672.878472222197</v>
      </c>
      <c r="B140" s="114">
        <v>5.8</v>
      </c>
      <c r="C140" s="114" t="s">
        <v>164</v>
      </c>
    </row>
    <row r="141" spans="1:3" x14ac:dyDescent="0.25">
      <c r="A141" s="115">
        <v>41673.128472222197</v>
      </c>
      <c r="B141" s="114">
        <v>51.6</v>
      </c>
      <c r="C141" s="114" t="s">
        <v>165</v>
      </c>
    </row>
    <row r="142" spans="1:3" x14ac:dyDescent="0.25">
      <c r="A142" s="115">
        <v>41673.402777777803</v>
      </c>
      <c r="B142" s="114">
        <v>1.7</v>
      </c>
      <c r="C142" s="114" t="s">
        <v>164</v>
      </c>
    </row>
    <row r="143" spans="1:3" x14ac:dyDescent="0.25">
      <c r="A143" s="115">
        <v>41673.6430555556</v>
      </c>
      <c r="B143" s="114">
        <v>51.9</v>
      </c>
      <c r="C143" s="114" t="s">
        <v>165</v>
      </c>
    </row>
    <row r="144" spans="1:3" x14ac:dyDescent="0.25">
      <c r="A144" s="115">
        <v>41673.908333333296</v>
      </c>
      <c r="B144" s="114">
        <v>6.3</v>
      </c>
      <c r="C144" s="114" t="s">
        <v>164</v>
      </c>
    </row>
    <row r="145" spans="1:3" x14ac:dyDescent="0.25">
      <c r="A145" s="115">
        <v>41674.159027777801</v>
      </c>
      <c r="B145" s="114">
        <v>50.9</v>
      </c>
      <c r="C145" s="114" t="s">
        <v>165</v>
      </c>
    </row>
    <row r="146" spans="1:3" x14ac:dyDescent="0.25">
      <c r="A146" s="115">
        <v>41674.434722222199</v>
      </c>
      <c r="B146" s="114">
        <v>2.4</v>
      </c>
      <c r="C146" s="114" t="s">
        <v>164</v>
      </c>
    </row>
    <row r="147" spans="1:3" x14ac:dyDescent="0.25">
      <c r="A147" s="115">
        <v>41674.677083333299</v>
      </c>
      <c r="B147" s="114">
        <v>50.3</v>
      </c>
      <c r="C147" s="114" t="s">
        <v>165</v>
      </c>
    </row>
    <row r="148" spans="1:3" x14ac:dyDescent="0.25">
      <c r="A148" s="115">
        <v>41674.936805555597</v>
      </c>
      <c r="B148" s="114">
        <v>7</v>
      </c>
      <c r="C148" s="114" t="s">
        <v>164</v>
      </c>
    </row>
    <row r="149" spans="1:3" x14ac:dyDescent="0.25">
      <c r="A149" s="115">
        <v>41675.192361111098</v>
      </c>
      <c r="B149" s="114">
        <v>49.6</v>
      </c>
      <c r="C149" s="114" t="s">
        <v>165</v>
      </c>
    </row>
    <row r="150" spans="1:3" x14ac:dyDescent="0.25">
      <c r="A150" s="115">
        <v>41675.462500000001</v>
      </c>
      <c r="B150" s="114">
        <v>3.7</v>
      </c>
      <c r="C150" s="114" t="s">
        <v>164</v>
      </c>
    </row>
    <row r="151" spans="1:3" x14ac:dyDescent="0.25">
      <c r="A151" s="115">
        <v>41675.712500000001</v>
      </c>
      <c r="B151" s="114">
        <v>48.1</v>
      </c>
      <c r="C151" s="114" t="s">
        <v>165</v>
      </c>
    </row>
    <row r="152" spans="1:3" x14ac:dyDescent="0.25">
      <c r="A152" s="115">
        <v>41675.965972222199</v>
      </c>
      <c r="B152" s="114">
        <v>7.9</v>
      </c>
      <c r="C152" s="114" t="s">
        <v>164</v>
      </c>
    </row>
    <row r="153" spans="1:3" x14ac:dyDescent="0.25">
      <c r="A153" s="115">
        <v>41676.2277777778</v>
      </c>
      <c r="B153" s="114">
        <v>47.6</v>
      </c>
      <c r="C153" s="114" t="s">
        <v>165</v>
      </c>
    </row>
    <row r="154" spans="1:3" x14ac:dyDescent="0.25">
      <c r="A154" s="115">
        <v>41676.489583333299</v>
      </c>
      <c r="B154" s="114">
        <v>5.6</v>
      </c>
      <c r="C154" s="114" t="s">
        <v>164</v>
      </c>
    </row>
    <row r="155" spans="1:3" x14ac:dyDescent="0.25">
      <c r="A155" s="115">
        <v>41676.748611111099</v>
      </c>
      <c r="B155" s="114">
        <v>45.5</v>
      </c>
      <c r="C155" s="114" t="s">
        <v>165</v>
      </c>
    </row>
    <row r="156" spans="1:3" x14ac:dyDescent="0.25">
      <c r="A156" s="115">
        <v>41677.001388888901</v>
      </c>
      <c r="B156" s="114">
        <v>9.3000000000000007</v>
      </c>
      <c r="C156" s="114" t="s">
        <v>164</v>
      </c>
    </row>
    <row r="157" spans="1:3" x14ac:dyDescent="0.25">
      <c r="A157" s="115">
        <v>41677.2680555556</v>
      </c>
      <c r="B157" s="114">
        <v>44.9</v>
      </c>
      <c r="C157" s="114" t="s">
        <v>165</v>
      </c>
    </row>
    <row r="158" spans="1:3" x14ac:dyDescent="0.25">
      <c r="A158" s="115">
        <v>41677.527777777803</v>
      </c>
      <c r="B158" s="114">
        <v>7.9</v>
      </c>
      <c r="C158" s="114" t="s">
        <v>164</v>
      </c>
    </row>
    <row r="159" spans="1:3" x14ac:dyDescent="0.25">
      <c r="A159" s="115">
        <v>41677.788888888899</v>
      </c>
      <c r="B159" s="114">
        <v>42.4</v>
      </c>
      <c r="C159" s="114" t="s">
        <v>165</v>
      </c>
    </row>
    <row r="160" spans="1:3" x14ac:dyDescent="0.25">
      <c r="A160" s="115">
        <v>41678.045833333301</v>
      </c>
      <c r="B160" s="114">
        <v>11.1</v>
      </c>
      <c r="C160" s="114" t="s">
        <v>164</v>
      </c>
    </row>
    <row r="161" spans="1:3" x14ac:dyDescent="0.25">
      <c r="A161" s="115">
        <v>41678.309027777803</v>
      </c>
      <c r="B161" s="114">
        <v>42</v>
      </c>
      <c r="C161" s="114" t="s">
        <v>165</v>
      </c>
    </row>
    <row r="162" spans="1:3" x14ac:dyDescent="0.25">
      <c r="A162" s="115">
        <v>41678.572916666701</v>
      </c>
      <c r="B162" s="114">
        <v>10.3</v>
      </c>
      <c r="C162" s="114" t="s">
        <v>164</v>
      </c>
    </row>
    <row r="163" spans="1:3" x14ac:dyDescent="0.25">
      <c r="A163" s="115">
        <v>41678.84375</v>
      </c>
      <c r="B163" s="114">
        <v>39.799999999999997</v>
      </c>
      <c r="C163" s="114" t="s">
        <v>165</v>
      </c>
    </row>
    <row r="164" spans="1:3" x14ac:dyDescent="0.25">
      <c r="A164" s="115">
        <v>41679.093055555597</v>
      </c>
      <c r="B164" s="114">
        <v>12.3</v>
      </c>
      <c r="C164" s="114" t="s">
        <v>164</v>
      </c>
    </row>
    <row r="165" spans="1:3" x14ac:dyDescent="0.25">
      <c r="A165" s="115">
        <v>41679.368055555598</v>
      </c>
      <c r="B165" s="114">
        <v>40.1</v>
      </c>
      <c r="C165" s="114" t="s">
        <v>165</v>
      </c>
    </row>
    <row r="166" spans="1:3" x14ac:dyDescent="0.25">
      <c r="A166" s="115">
        <v>41679.627777777801</v>
      </c>
      <c r="B166" s="114">
        <v>11.7</v>
      </c>
      <c r="C166" s="114" t="s">
        <v>164</v>
      </c>
    </row>
    <row r="167" spans="1:3" x14ac:dyDescent="0.25">
      <c r="A167" s="115">
        <v>41679.902777777803</v>
      </c>
      <c r="B167" s="114">
        <v>39.4</v>
      </c>
      <c r="C167" s="114" t="s">
        <v>165</v>
      </c>
    </row>
    <row r="168" spans="1:3" x14ac:dyDescent="0.25">
      <c r="A168" s="115">
        <v>41680.159722222197</v>
      </c>
      <c r="B168" s="114">
        <v>12.1</v>
      </c>
      <c r="C168" s="114" t="s">
        <v>164</v>
      </c>
    </row>
    <row r="169" spans="1:3" x14ac:dyDescent="0.25">
      <c r="A169" s="115">
        <v>41680.427083333299</v>
      </c>
      <c r="B169" s="114">
        <v>40.700000000000003</v>
      </c>
      <c r="C169" s="114" t="s">
        <v>165</v>
      </c>
    </row>
    <row r="170" spans="1:3" x14ac:dyDescent="0.25">
      <c r="A170" s="115">
        <v>41680.684027777803</v>
      </c>
      <c r="B170" s="114">
        <v>11.5</v>
      </c>
      <c r="C170" s="114" t="s">
        <v>164</v>
      </c>
    </row>
    <row r="171" spans="1:3" x14ac:dyDescent="0.25">
      <c r="A171" s="115">
        <v>41680.948611111096</v>
      </c>
      <c r="B171" s="114">
        <v>41.1</v>
      </c>
      <c r="C171" s="114" t="s">
        <v>165</v>
      </c>
    </row>
    <row r="172" spans="1:3" x14ac:dyDescent="0.25">
      <c r="A172" s="115">
        <v>41681.212500000001</v>
      </c>
      <c r="B172" s="114">
        <v>10.7</v>
      </c>
      <c r="C172" s="114" t="s">
        <v>164</v>
      </c>
    </row>
    <row r="173" spans="1:3" x14ac:dyDescent="0.25">
      <c r="A173" s="115">
        <v>41681.469444444403</v>
      </c>
      <c r="B173" s="114">
        <v>42.8</v>
      </c>
      <c r="C173" s="114" t="s">
        <v>165</v>
      </c>
    </row>
    <row r="174" spans="1:3" x14ac:dyDescent="0.25">
      <c r="A174" s="115">
        <v>41681.726388888899</v>
      </c>
      <c r="B174" s="114">
        <v>10.7</v>
      </c>
      <c r="C174" s="114" t="s">
        <v>164</v>
      </c>
    </row>
    <row r="175" spans="1:3" x14ac:dyDescent="0.25">
      <c r="A175" s="115">
        <v>41681.985416666699</v>
      </c>
      <c r="B175" s="114">
        <v>43.3</v>
      </c>
      <c r="C175" s="114" t="s">
        <v>165</v>
      </c>
    </row>
    <row r="176" spans="1:3" x14ac:dyDescent="0.25">
      <c r="A176" s="115">
        <v>41682.246527777803</v>
      </c>
      <c r="B176" s="114">
        <v>9.1</v>
      </c>
      <c r="C176" s="114" t="s">
        <v>164</v>
      </c>
    </row>
    <row r="177" spans="1:3" x14ac:dyDescent="0.25">
      <c r="A177" s="115">
        <v>41682.499305555597</v>
      </c>
      <c r="B177" s="114">
        <v>44.8</v>
      </c>
      <c r="C177" s="114" t="s">
        <v>165</v>
      </c>
    </row>
    <row r="178" spans="1:3" x14ac:dyDescent="0.25">
      <c r="A178" s="115">
        <v>41682.753472222197</v>
      </c>
      <c r="B178" s="114">
        <v>10</v>
      </c>
      <c r="C178" s="114" t="s">
        <v>164</v>
      </c>
    </row>
    <row r="179" spans="1:3" x14ac:dyDescent="0.25">
      <c r="A179" s="115">
        <v>41683.012499999997</v>
      </c>
      <c r="B179" s="114">
        <v>44.9</v>
      </c>
      <c r="C179" s="114" t="s">
        <v>165</v>
      </c>
    </row>
    <row r="180" spans="1:3" x14ac:dyDescent="0.25">
      <c r="A180" s="115">
        <v>41683.276388888902</v>
      </c>
      <c r="B180" s="114">
        <v>7.9</v>
      </c>
      <c r="C180" s="114" t="s">
        <v>164</v>
      </c>
    </row>
    <row r="181" spans="1:3" x14ac:dyDescent="0.25">
      <c r="A181" s="115">
        <v>41683.524305555598</v>
      </c>
      <c r="B181" s="114">
        <v>46.1</v>
      </c>
      <c r="C181" s="114" t="s">
        <v>165</v>
      </c>
    </row>
    <row r="182" spans="1:3" x14ac:dyDescent="0.25">
      <c r="A182" s="115">
        <v>41683.777083333298</v>
      </c>
      <c r="B182" s="114">
        <v>9.3000000000000007</v>
      </c>
      <c r="C182" s="114" t="s">
        <v>164</v>
      </c>
    </row>
    <row r="183" spans="1:3" x14ac:dyDescent="0.25">
      <c r="A183" s="115">
        <v>41684.038888888899</v>
      </c>
      <c r="B183" s="114">
        <v>46</v>
      </c>
      <c r="C183" s="114" t="s">
        <v>165</v>
      </c>
    </row>
    <row r="184" spans="1:3" x14ac:dyDescent="0.25">
      <c r="A184" s="115">
        <v>41684.298611111102</v>
      </c>
      <c r="B184" s="114">
        <v>7</v>
      </c>
      <c r="C184" s="114" t="s">
        <v>164</v>
      </c>
    </row>
    <row r="185" spans="1:3" x14ac:dyDescent="0.25">
      <c r="A185" s="115">
        <v>41684.548611111102</v>
      </c>
      <c r="B185" s="114">
        <v>47.3</v>
      </c>
      <c r="C185" s="114" t="s">
        <v>165</v>
      </c>
    </row>
    <row r="186" spans="1:3" x14ac:dyDescent="0.25">
      <c r="A186" s="115">
        <v>41684.802777777797</v>
      </c>
      <c r="B186" s="114">
        <v>8.6</v>
      </c>
      <c r="C186" s="114" t="s">
        <v>164</v>
      </c>
    </row>
    <row r="187" spans="1:3" x14ac:dyDescent="0.25">
      <c r="A187" s="115">
        <v>41685.059722222199</v>
      </c>
      <c r="B187" s="114">
        <v>47.1</v>
      </c>
      <c r="C187" s="114" t="s">
        <v>165</v>
      </c>
    </row>
    <row r="188" spans="1:3" x14ac:dyDescent="0.25">
      <c r="A188" s="115">
        <v>41685.320833333302</v>
      </c>
      <c r="B188" s="114">
        <v>6</v>
      </c>
      <c r="C188" s="114" t="s">
        <v>164</v>
      </c>
    </row>
    <row r="189" spans="1:3" x14ac:dyDescent="0.25">
      <c r="A189" s="115">
        <v>41685.568749999999</v>
      </c>
      <c r="B189" s="114">
        <v>48.4</v>
      </c>
      <c r="C189" s="114" t="s">
        <v>165</v>
      </c>
    </row>
    <row r="190" spans="1:3" x14ac:dyDescent="0.25">
      <c r="A190" s="115">
        <v>41685.823611111096</v>
      </c>
      <c r="B190" s="114">
        <v>7.7</v>
      </c>
      <c r="C190" s="114" t="s">
        <v>164</v>
      </c>
    </row>
    <row r="191" spans="1:3" x14ac:dyDescent="0.25">
      <c r="A191" s="115">
        <v>41686.0805555556</v>
      </c>
      <c r="B191" s="114">
        <v>48.3</v>
      </c>
      <c r="C191" s="114" t="s">
        <v>165</v>
      </c>
    </row>
    <row r="192" spans="1:3" x14ac:dyDescent="0.25">
      <c r="A192" s="115">
        <v>41686.346527777801</v>
      </c>
      <c r="B192" s="114">
        <v>5.0999999999999996</v>
      </c>
      <c r="C192" s="114" t="s">
        <v>164</v>
      </c>
    </row>
    <row r="193" spans="1:3" x14ac:dyDescent="0.25">
      <c r="A193" s="115">
        <v>41686.588194444397</v>
      </c>
      <c r="B193" s="114">
        <v>49.4</v>
      </c>
      <c r="C193" s="114" t="s">
        <v>165</v>
      </c>
    </row>
    <row r="194" spans="1:3" x14ac:dyDescent="0.25">
      <c r="A194" s="115">
        <v>41686.846527777801</v>
      </c>
      <c r="B194" s="114">
        <v>7</v>
      </c>
      <c r="C194" s="114" t="s">
        <v>164</v>
      </c>
    </row>
    <row r="195" spans="1:3" x14ac:dyDescent="0.25">
      <c r="A195" s="115">
        <v>41687.100694444402</v>
      </c>
      <c r="B195" s="114">
        <v>49</v>
      </c>
      <c r="C195" s="114" t="s">
        <v>165</v>
      </c>
    </row>
    <row r="196" spans="1:3" x14ac:dyDescent="0.25">
      <c r="A196" s="115">
        <v>41687.369444444397</v>
      </c>
      <c r="B196" s="114">
        <v>4.5999999999999996</v>
      </c>
      <c r="C196" s="114" t="s">
        <v>164</v>
      </c>
    </row>
    <row r="197" spans="1:3" x14ac:dyDescent="0.25">
      <c r="A197" s="115">
        <v>41687.609027777798</v>
      </c>
      <c r="B197" s="114">
        <v>49.7</v>
      </c>
      <c r="C197" s="114" t="s">
        <v>165</v>
      </c>
    </row>
    <row r="198" spans="1:3" x14ac:dyDescent="0.25">
      <c r="A198" s="115">
        <v>41687.873611111099</v>
      </c>
      <c r="B198" s="114">
        <v>6.8</v>
      </c>
      <c r="C198" s="114" t="s">
        <v>164</v>
      </c>
    </row>
    <row r="199" spans="1:3" x14ac:dyDescent="0.25">
      <c r="A199" s="115">
        <v>41688.120138888902</v>
      </c>
      <c r="B199" s="114">
        <v>49</v>
      </c>
      <c r="C199" s="114" t="s">
        <v>165</v>
      </c>
    </row>
    <row r="200" spans="1:3" x14ac:dyDescent="0.25">
      <c r="A200" s="115">
        <v>41688.392361111102</v>
      </c>
      <c r="B200" s="114">
        <v>4.7</v>
      </c>
      <c r="C200" s="114" t="s">
        <v>164</v>
      </c>
    </row>
    <row r="201" spans="1:3" x14ac:dyDescent="0.25">
      <c r="A201" s="115">
        <v>41688.631249999999</v>
      </c>
      <c r="B201" s="114">
        <v>49.4</v>
      </c>
      <c r="C201" s="114" t="s">
        <v>165</v>
      </c>
    </row>
    <row r="202" spans="1:3" x14ac:dyDescent="0.25">
      <c r="A202" s="115">
        <v>41688.895833333299</v>
      </c>
      <c r="B202" s="114">
        <v>7.1</v>
      </c>
      <c r="C202" s="114" t="s">
        <v>164</v>
      </c>
    </row>
    <row r="203" spans="1:3" x14ac:dyDescent="0.25">
      <c r="A203" s="115">
        <v>41689.142361111102</v>
      </c>
      <c r="B203" s="114">
        <v>48.6</v>
      </c>
      <c r="C203" s="114" t="s">
        <v>165</v>
      </c>
    </row>
    <row r="204" spans="1:3" x14ac:dyDescent="0.25">
      <c r="A204" s="115">
        <v>41689.413194444402</v>
      </c>
      <c r="B204" s="114">
        <v>5.2</v>
      </c>
      <c r="C204" s="114" t="s">
        <v>164</v>
      </c>
    </row>
    <row r="205" spans="1:3" x14ac:dyDescent="0.25">
      <c r="A205" s="115">
        <v>41689.654861111099</v>
      </c>
      <c r="B205" s="114">
        <v>48.8</v>
      </c>
      <c r="C205" s="114" t="s">
        <v>165</v>
      </c>
    </row>
    <row r="206" spans="1:3" x14ac:dyDescent="0.25">
      <c r="A206" s="115">
        <v>41689.920833333301</v>
      </c>
      <c r="B206" s="114">
        <v>7.4</v>
      </c>
      <c r="C206" s="114" t="s">
        <v>164</v>
      </c>
    </row>
    <row r="207" spans="1:3" x14ac:dyDescent="0.25">
      <c r="A207" s="115">
        <v>41690.164583333302</v>
      </c>
      <c r="B207" s="114">
        <v>48.1</v>
      </c>
      <c r="C207" s="114" t="s">
        <v>165</v>
      </c>
    </row>
    <row r="208" spans="1:3" x14ac:dyDescent="0.25">
      <c r="A208" s="115">
        <v>41690.4375</v>
      </c>
      <c r="B208" s="114">
        <v>5.6</v>
      </c>
      <c r="C208" s="114" t="s">
        <v>164</v>
      </c>
    </row>
    <row r="209" spans="1:3" x14ac:dyDescent="0.25">
      <c r="A209" s="115">
        <v>41690.677777777797</v>
      </c>
      <c r="B209" s="114">
        <v>48.2</v>
      </c>
      <c r="C209" s="114" t="s">
        <v>165</v>
      </c>
    </row>
    <row r="210" spans="1:3" x14ac:dyDescent="0.25">
      <c r="A210" s="115">
        <v>41690.943055555603</v>
      </c>
      <c r="B210" s="114">
        <v>7.5</v>
      </c>
      <c r="C210" s="114" t="s">
        <v>164</v>
      </c>
    </row>
    <row r="211" spans="1:3" x14ac:dyDescent="0.25">
      <c r="A211" s="115">
        <v>41691.191666666702</v>
      </c>
      <c r="B211" s="114">
        <v>47.6</v>
      </c>
      <c r="C211" s="114" t="s">
        <v>165</v>
      </c>
    </row>
    <row r="212" spans="1:3" x14ac:dyDescent="0.25">
      <c r="A212" s="115">
        <v>41691.463888888902</v>
      </c>
      <c r="B212" s="114">
        <v>6.1</v>
      </c>
      <c r="C212" s="114" t="s">
        <v>164</v>
      </c>
    </row>
    <row r="213" spans="1:3" x14ac:dyDescent="0.25">
      <c r="A213" s="115">
        <v>41691.707638888904</v>
      </c>
      <c r="B213" s="114">
        <v>47</v>
      </c>
      <c r="C213" s="114" t="s">
        <v>165</v>
      </c>
    </row>
    <row r="214" spans="1:3" x14ac:dyDescent="0.25">
      <c r="A214" s="115">
        <v>41691.96875</v>
      </c>
      <c r="B214" s="114">
        <v>7.9</v>
      </c>
      <c r="C214" s="114" t="s">
        <v>164</v>
      </c>
    </row>
    <row r="215" spans="1:3" x14ac:dyDescent="0.25">
      <c r="A215" s="115">
        <v>41692.221527777801</v>
      </c>
      <c r="B215" s="114">
        <v>46.3</v>
      </c>
      <c r="C215" s="114" t="s">
        <v>165</v>
      </c>
    </row>
    <row r="216" spans="1:3" x14ac:dyDescent="0.25">
      <c r="A216" s="115">
        <v>41692.497222222199</v>
      </c>
      <c r="B216" s="114">
        <v>7.1</v>
      </c>
      <c r="C216" s="114" t="s">
        <v>164</v>
      </c>
    </row>
    <row r="217" spans="1:3" x14ac:dyDescent="0.25">
      <c r="A217" s="115">
        <v>41692.743750000001</v>
      </c>
      <c r="B217" s="114">
        <v>44.9</v>
      </c>
      <c r="C217" s="114" t="s">
        <v>165</v>
      </c>
    </row>
    <row r="218" spans="1:3" x14ac:dyDescent="0.25">
      <c r="A218" s="115">
        <v>41693.011111111096</v>
      </c>
      <c r="B218" s="114">
        <v>8.8000000000000007</v>
      </c>
      <c r="C218" s="114" t="s">
        <v>164</v>
      </c>
    </row>
    <row r="219" spans="1:3" x14ac:dyDescent="0.25">
      <c r="A219" s="115">
        <v>41693.264583333301</v>
      </c>
      <c r="B219" s="114">
        <v>44</v>
      </c>
      <c r="C219" s="114" t="s">
        <v>165</v>
      </c>
    </row>
    <row r="220" spans="1:3" x14ac:dyDescent="0.25">
      <c r="A220" s="115">
        <v>41693.534722222197</v>
      </c>
      <c r="B220" s="114">
        <v>8.5</v>
      </c>
      <c r="C220" s="114" t="s">
        <v>164</v>
      </c>
    </row>
    <row r="221" spans="1:3" x14ac:dyDescent="0.25">
      <c r="A221" s="115">
        <v>41693.795138888898</v>
      </c>
      <c r="B221" s="114">
        <v>42.5</v>
      </c>
      <c r="C221" s="114" t="s">
        <v>165</v>
      </c>
    </row>
    <row r="222" spans="1:3" x14ac:dyDescent="0.25">
      <c r="A222" s="115">
        <v>41694.059722222199</v>
      </c>
      <c r="B222" s="114">
        <v>10</v>
      </c>
      <c r="C222" s="114" t="s">
        <v>164</v>
      </c>
    </row>
    <row r="223" spans="1:3" x14ac:dyDescent="0.25">
      <c r="A223" s="115">
        <v>41694.324999999997</v>
      </c>
      <c r="B223" s="114">
        <v>42.3</v>
      </c>
      <c r="C223" s="114" t="s">
        <v>165</v>
      </c>
    </row>
    <row r="224" spans="1:3" x14ac:dyDescent="0.25">
      <c r="A224" s="115">
        <v>41694.586805555598</v>
      </c>
      <c r="B224" s="114">
        <v>9.9</v>
      </c>
      <c r="C224" s="114" t="s">
        <v>164</v>
      </c>
    </row>
    <row r="225" spans="1:3" x14ac:dyDescent="0.25">
      <c r="A225" s="115">
        <v>41694.854166666701</v>
      </c>
      <c r="B225" s="114">
        <v>41.4</v>
      </c>
      <c r="C225" s="114" t="s">
        <v>165</v>
      </c>
    </row>
    <row r="226" spans="1:3" x14ac:dyDescent="0.25">
      <c r="A226" s="115">
        <v>41695.114583333299</v>
      </c>
      <c r="B226" s="114">
        <v>10.199999999999999</v>
      </c>
      <c r="C226" s="114" t="s">
        <v>164</v>
      </c>
    </row>
    <row r="227" spans="1:3" x14ac:dyDescent="0.25">
      <c r="A227" s="115">
        <v>41695.380555555603</v>
      </c>
      <c r="B227" s="114">
        <v>42.4</v>
      </c>
      <c r="C227" s="114" t="s">
        <v>165</v>
      </c>
    </row>
    <row r="228" spans="1:3" x14ac:dyDescent="0.25">
      <c r="A228" s="115">
        <v>41695.642361111102</v>
      </c>
      <c r="B228" s="114">
        <v>10.199999999999999</v>
      </c>
      <c r="C228" s="114" t="s">
        <v>164</v>
      </c>
    </row>
    <row r="229" spans="1:3" x14ac:dyDescent="0.25">
      <c r="A229" s="115">
        <v>41695.908333333296</v>
      </c>
      <c r="B229" s="114">
        <v>42.1</v>
      </c>
      <c r="C229" s="114" t="s">
        <v>165</v>
      </c>
    </row>
    <row r="230" spans="1:3" x14ac:dyDescent="0.25">
      <c r="A230" s="115">
        <v>41696.173611111102</v>
      </c>
      <c r="B230" s="114">
        <v>9.1</v>
      </c>
      <c r="C230" s="114" t="s">
        <v>164</v>
      </c>
    </row>
    <row r="231" spans="1:3" x14ac:dyDescent="0.25">
      <c r="A231" s="115">
        <v>41696.429861111101</v>
      </c>
      <c r="B231" s="114">
        <v>44.3</v>
      </c>
      <c r="C231" s="114" t="s">
        <v>165</v>
      </c>
    </row>
    <row r="232" spans="1:3" x14ac:dyDescent="0.25">
      <c r="A232" s="115">
        <v>41696.697916666701</v>
      </c>
      <c r="B232" s="114">
        <v>9.3000000000000007</v>
      </c>
      <c r="C232" s="114" t="s">
        <v>164</v>
      </c>
    </row>
    <row r="233" spans="1:3" x14ac:dyDescent="0.25">
      <c r="A233" s="115">
        <v>41696.952777777798</v>
      </c>
      <c r="B233" s="114">
        <v>44.4</v>
      </c>
      <c r="C233" s="114" t="s">
        <v>165</v>
      </c>
    </row>
    <row r="234" spans="1:3" x14ac:dyDescent="0.25">
      <c r="A234" s="115">
        <v>41697.226388888899</v>
      </c>
      <c r="B234" s="114">
        <v>6.9</v>
      </c>
      <c r="C234" s="114" t="s">
        <v>164</v>
      </c>
    </row>
    <row r="235" spans="1:3" x14ac:dyDescent="0.25">
      <c r="A235" s="115">
        <v>41697.470138888901</v>
      </c>
      <c r="B235" s="114">
        <v>47.1</v>
      </c>
      <c r="C235" s="114" t="s">
        <v>165</v>
      </c>
    </row>
    <row r="236" spans="1:3" x14ac:dyDescent="0.25">
      <c r="A236" s="115">
        <v>41697.739583333299</v>
      </c>
      <c r="B236" s="114">
        <v>7.9</v>
      </c>
      <c r="C236" s="114" t="s">
        <v>164</v>
      </c>
    </row>
    <row r="237" spans="1:3" x14ac:dyDescent="0.25">
      <c r="A237" s="115">
        <v>41697.989583333299</v>
      </c>
      <c r="B237" s="114">
        <v>46.9</v>
      </c>
      <c r="C237" s="114" t="s">
        <v>165</v>
      </c>
    </row>
    <row r="238" spans="1:3" x14ac:dyDescent="0.25">
      <c r="A238" s="115">
        <v>41698.264583333301</v>
      </c>
      <c r="B238" s="114">
        <v>4.5999999999999996</v>
      </c>
      <c r="C238" s="114" t="s">
        <v>164</v>
      </c>
    </row>
    <row r="239" spans="1:3" x14ac:dyDescent="0.25">
      <c r="A239" s="115">
        <v>41698.505555555603</v>
      </c>
      <c r="B239" s="114">
        <v>49.6</v>
      </c>
      <c r="C239" s="114" t="s">
        <v>165</v>
      </c>
    </row>
    <row r="240" spans="1:3" x14ac:dyDescent="0.25">
      <c r="A240" s="115">
        <v>41698.775000000001</v>
      </c>
      <c r="B240" s="114">
        <v>6.7</v>
      </c>
      <c r="C240" s="114" t="s">
        <v>164</v>
      </c>
    </row>
    <row r="241" spans="1:3" x14ac:dyDescent="0.25">
      <c r="A241" s="115">
        <v>41699.0222222222</v>
      </c>
      <c r="B241" s="114">
        <v>49.1</v>
      </c>
      <c r="C241" s="114" t="s">
        <v>165</v>
      </c>
    </row>
    <row r="242" spans="1:3" x14ac:dyDescent="0.25">
      <c r="A242" s="115">
        <v>41699.296527777798</v>
      </c>
      <c r="B242" s="114">
        <v>2.8</v>
      </c>
      <c r="C242" s="114" t="s">
        <v>164</v>
      </c>
    </row>
    <row r="243" spans="1:3" x14ac:dyDescent="0.25">
      <c r="A243" s="115">
        <v>41699.536805555603</v>
      </c>
      <c r="B243" s="114">
        <v>51.3</v>
      </c>
      <c r="C243" s="114" t="s">
        <v>165</v>
      </c>
    </row>
    <row r="244" spans="1:3" x14ac:dyDescent="0.25">
      <c r="A244" s="115">
        <v>41699.804166666698</v>
      </c>
      <c r="B244" s="114">
        <v>5.8</v>
      </c>
      <c r="C244" s="114" t="s">
        <v>164</v>
      </c>
    </row>
    <row r="245" spans="1:3" x14ac:dyDescent="0.25">
      <c r="A245" s="115">
        <v>41700.052083333299</v>
      </c>
      <c r="B245" s="114">
        <v>50.8</v>
      </c>
      <c r="C245" s="114" t="s">
        <v>165</v>
      </c>
    </row>
    <row r="246" spans="1:3" x14ac:dyDescent="0.25">
      <c r="A246" s="115">
        <v>41700.327777777798</v>
      </c>
      <c r="B246" s="114">
        <v>1.7</v>
      </c>
      <c r="C246" s="114" t="s">
        <v>164</v>
      </c>
    </row>
    <row r="247" spans="1:3" x14ac:dyDescent="0.25">
      <c r="A247" s="115">
        <v>41700.566666666702</v>
      </c>
      <c r="B247" s="114">
        <v>52.2</v>
      </c>
      <c r="C247" s="114" t="s">
        <v>165</v>
      </c>
    </row>
    <row r="248" spans="1:3" x14ac:dyDescent="0.25">
      <c r="A248" s="115">
        <v>41700.835416666698</v>
      </c>
      <c r="B248" s="114">
        <v>5.3</v>
      </c>
      <c r="C248" s="114" t="s">
        <v>164</v>
      </c>
    </row>
    <row r="249" spans="1:3" x14ac:dyDescent="0.25">
      <c r="A249" s="115">
        <v>41701.081250000003</v>
      </c>
      <c r="B249" s="114">
        <v>51.8</v>
      </c>
      <c r="C249" s="114" t="s">
        <v>165</v>
      </c>
    </row>
    <row r="250" spans="1:3" x14ac:dyDescent="0.25">
      <c r="A250" s="115">
        <v>41701.358333333301</v>
      </c>
      <c r="B250" s="114">
        <v>1.4</v>
      </c>
      <c r="C250" s="114" t="s">
        <v>164</v>
      </c>
    </row>
    <row r="251" spans="1:3" x14ac:dyDescent="0.25">
      <c r="A251" s="115">
        <v>41701.597222222197</v>
      </c>
      <c r="B251" s="114">
        <v>52.3</v>
      </c>
      <c r="C251" s="114" t="s">
        <v>165</v>
      </c>
    </row>
    <row r="252" spans="1:3" x14ac:dyDescent="0.25">
      <c r="A252" s="115">
        <v>41701.865277777797</v>
      </c>
      <c r="B252" s="114">
        <v>5.2</v>
      </c>
      <c r="C252" s="114" t="s">
        <v>164</v>
      </c>
    </row>
    <row r="253" spans="1:3" x14ac:dyDescent="0.25">
      <c r="A253" s="115">
        <v>41702.112500000003</v>
      </c>
      <c r="B253" s="114">
        <v>52</v>
      </c>
      <c r="C253" s="114" t="s">
        <v>165</v>
      </c>
    </row>
    <row r="254" spans="1:3" x14ac:dyDescent="0.25">
      <c r="A254" s="115">
        <v>41702.386111111096</v>
      </c>
      <c r="B254" s="114">
        <v>1.6</v>
      </c>
      <c r="C254" s="114" t="s">
        <v>164</v>
      </c>
    </row>
    <row r="255" spans="1:3" x14ac:dyDescent="0.25">
      <c r="A255" s="115">
        <v>41702.627083333296</v>
      </c>
      <c r="B255" s="114">
        <v>51.5</v>
      </c>
      <c r="C255" s="114" t="s">
        <v>165</v>
      </c>
    </row>
    <row r="256" spans="1:3" x14ac:dyDescent="0.25">
      <c r="A256" s="115">
        <v>41702.892361111102</v>
      </c>
      <c r="B256" s="114">
        <v>5.3</v>
      </c>
      <c r="C256" s="114" t="s">
        <v>164</v>
      </c>
    </row>
    <row r="257" spans="1:3" x14ac:dyDescent="0.25">
      <c r="A257" s="115">
        <v>41703.142361111102</v>
      </c>
      <c r="B257" s="114">
        <v>51.4</v>
      </c>
      <c r="C257" s="114" t="s">
        <v>165</v>
      </c>
    </row>
    <row r="258" spans="1:3" x14ac:dyDescent="0.25">
      <c r="A258" s="115">
        <v>41703.4152777778</v>
      </c>
      <c r="B258" s="114">
        <v>2.7</v>
      </c>
      <c r="C258" s="114" t="s">
        <v>164</v>
      </c>
    </row>
    <row r="259" spans="1:3" x14ac:dyDescent="0.25">
      <c r="A259" s="115">
        <v>41703.656944444403</v>
      </c>
      <c r="B259" s="114">
        <v>49.8</v>
      </c>
      <c r="C259" s="114" t="s">
        <v>165</v>
      </c>
    </row>
    <row r="260" spans="1:3" x14ac:dyDescent="0.25">
      <c r="A260" s="115">
        <v>41703.920138888898</v>
      </c>
      <c r="B260" s="114">
        <v>6</v>
      </c>
      <c r="C260" s="114" t="s">
        <v>164</v>
      </c>
    </row>
    <row r="261" spans="1:3" x14ac:dyDescent="0.25">
      <c r="A261" s="115">
        <v>41704.171527777798</v>
      </c>
      <c r="B261" s="114">
        <v>50</v>
      </c>
      <c r="C261" s="114" t="s">
        <v>165</v>
      </c>
    </row>
    <row r="262" spans="1:3" x14ac:dyDescent="0.25">
      <c r="A262" s="115">
        <v>41704.440972222197</v>
      </c>
      <c r="B262" s="114">
        <v>4.3</v>
      </c>
      <c r="C262" s="114" t="s">
        <v>164</v>
      </c>
    </row>
    <row r="263" spans="1:3" x14ac:dyDescent="0.25">
      <c r="A263" s="115">
        <v>41704.690972222197</v>
      </c>
      <c r="B263" s="114">
        <v>47.5</v>
      </c>
      <c r="C263" s="114" t="s">
        <v>165</v>
      </c>
    </row>
    <row r="264" spans="1:3" x14ac:dyDescent="0.25">
      <c r="A264" s="115">
        <v>41704.947916666701</v>
      </c>
      <c r="B264" s="114">
        <v>6.9</v>
      </c>
      <c r="C264" s="114" t="s">
        <v>164</v>
      </c>
    </row>
    <row r="265" spans="1:3" x14ac:dyDescent="0.25">
      <c r="A265" s="115">
        <v>41705.2055555556</v>
      </c>
      <c r="B265" s="114">
        <v>47.8</v>
      </c>
      <c r="C265" s="114" t="s">
        <v>165</v>
      </c>
    </row>
    <row r="266" spans="1:3" x14ac:dyDescent="0.25">
      <c r="A266" s="115">
        <v>41705.46875</v>
      </c>
      <c r="B266" s="114">
        <v>6.2</v>
      </c>
      <c r="C266" s="114" t="s">
        <v>164</v>
      </c>
    </row>
    <row r="267" spans="1:3" x14ac:dyDescent="0.25">
      <c r="A267" s="115">
        <v>41705.721527777801</v>
      </c>
      <c r="B267" s="114">
        <v>44.7</v>
      </c>
      <c r="C267" s="114" t="s">
        <v>165</v>
      </c>
    </row>
    <row r="268" spans="1:3" x14ac:dyDescent="0.25">
      <c r="A268" s="115">
        <v>41705.979166666701</v>
      </c>
      <c r="B268" s="114">
        <v>8.3000000000000007</v>
      </c>
      <c r="C268" s="114" t="s">
        <v>164</v>
      </c>
    </row>
    <row r="269" spans="1:3" x14ac:dyDescent="0.25">
      <c r="A269" s="115">
        <v>41706.235416666699</v>
      </c>
      <c r="B269" s="114">
        <v>44.9</v>
      </c>
      <c r="C269" s="114" t="s">
        <v>165</v>
      </c>
    </row>
    <row r="270" spans="1:3" x14ac:dyDescent="0.25">
      <c r="A270" s="115">
        <v>41706.5</v>
      </c>
      <c r="B270" s="114">
        <v>8.5</v>
      </c>
      <c r="C270" s="114" t="s">
        <v>164</v>
      </c>
    </row>
    <row r="271" spans="1:3" x14ac:dyDescent="0.25">
      <c r="A271" s="115">
        <v>41706.756249999999</v>
      </c>
      <c r="B271" s="114">
        <v>41.6</v>
      </c>
      <c r="C271" s="114" t="s">
        <v>165</v>
      </c>
    </row>
    <row r="272" spans="1:3" x14ac:dyDescent="0.25">
      <c r="A272" s="115">
        <v>41707.017361111102</v>
      </c>
      <c r="B272" s="114">
        <v>10.199999999999999</v>
      </c>
      <c r="C272" s="114" t="s">
        <v>164</v>
      </c>
    </row>
    <row r="273" spans="1:3" x14ac:dyDescent="0.25">
      <c r="A273" s="115">
        <v>41707.277777777803</v>
      </c>
      <c r="B273" s="114">
        <v>41.6</v>
      </c>
      <c r="C273" s="114" t="s">
        <v>165</v>
      </c>
    </row>
    <row r="274" spans="1:3" x14ac:dyDescent="0.25">
      <c r="A274" s="115">
        <v>41707.537499999999</v>
      </c>
      <c r="B274" s="114">
        <v>11.1</v>
      </c>
      <c r="C274" s="114" t="s">
        <v>164</v>
      </c>
    </row>
    <row r="275" spans="1:3" x14ac:dyDescent="0.25">
      <c r="A275" s="115">
        <v>41707.797916666699</v>
      </c>
      <c r="B275" s="114">
        <v>38.4</v>
      </c>
      <c r="C275" s="114" t="s">
        <v>165</v>
      </c>
    </row>
    <row r="276" spans="1:3" x14ac:dyDescent="0.25">
      <c r="A276" s="115">
        <v>41708.072916666701</v>
      </c>
      <c r="B276" s="114">
        <v>11.7</v>
      </c>
      <c r="C276" s="114" t="s">
        <v>164</v>
      </c>
    </row>
    <row r="277" spans="1:3" x14ac:dyDescent="0.25">
      <c r="A277" s="115">
        <v>41708.337500000001</v>
      </c>
      <c r="B277" s="114">
        <v>38.700000000000003</v>
      </c>
      <c r="C277" s="114" t="s">
        <v>165</v>
      </c>
    </row>
    <row r="278" spans="1:3" x14ac:dyDescent="0.25">
      <c r="A278" s="115">
        <v>41708.601388888899</v>
      </c>
      <c r="B278" s="114">
        <v>12.5</v>
      </c>
      <c r="C278" s="114" t="s">
        <v>164</v>
      </c>
    </row>
    <row r="279" spans="1:3" x14ac:dyDescent="0.25">
      <c r="A279" s="115">
        <v>41708.875</v>
      </c>
      <c r="B279" s="114">
        <v>36.9</v>
      </c>
      <c r="C279" s="114" t="s">
        <v>165</v>
      </c>
    </row>
    <row r="280" spans="1:3" x14ac:dyDescent="0.25">
      <c r="A280" s="115">
        <v>41709.136111111096</v>
      </c>
      <c r="B280" s="114">
        <v>12</v>
      </c>
      <c r="C280" s="114" t="s">
        <v>164</v>
      </c>
    </row>
    <row r="281" spans="1:3" x14ac:dyDescent="0.25">
      <c r="A281" s="115">
        <v>41709.402777777803</v>
      </c>
      <c r="B281" s="114">
        <v>38.9</v>
      </c>
      <c r="C281" s="114" t="s">
        <v>165</v>
      </c>
    </row>
    <row r="282" spans="1:3" x14ac:dyDescent="0.25">
      <c r="A282" s="115">
        <v>41709.65625</v>
      </c>
      <c r="B282" s="114">
        <v>12.4</v>
      </c>
      <c r="C282" s="114" t="s">
        <v>164</v>
      </c>
    </row>
    <row r="283" spans="1:3" x14ac:dyDescent="0.25">
      <c r="A283" s="115">
        <v>41709.929166666698</v>
      </c>
      <c r="B283" s="114">
        <v>38.799999999999997</v>
      </c>
      <c r="C283" s="114" t="s">
        <v>165</v>
      </c>
    </row>
    <row r="284" spans="1:3" x14ac:dyDescent="0.25">
      <c r="A284" s="115">
        <v>41710.184027777803</v>
      </c>
      <c r="B284" s="114">
        <v>10.8</v>
      </c>
      <c r="C284" s="114" t="s">
        <v>164</v>
      </c>
    </row>
    <row r="285" spans="1:3" x14ac:dyDescent="0.25">
      <c r="A285" s="115">
        <v>41710.447916666701</v>
      </c>
      <c r="B285" s="114">
        <v>41.3</v>
      </c>
      <c r="C285" s="114" t="s">
        <v>165</v>
      </c>
    </row>
    <row r="286" spans="1:3" x14ac:dyDescent="0.25">
      <c r="A286" s="115">
        <v>41710.697222222203</v>
      </c>
      <c r="B286" s="114">
        <v>11.2</v>
      </c>
      <c r="C286" s="114" t="s">
        <v>164</v>
      </c>
    </row>
    <row r="287" spans="1:3" x14ac:dyDescent="0.25">
      <c r="A287" s="115">
        <v>41710.96875</v>
      </c>
      <c r="B287" s="114">
        <v>41.5</v>
      </c>
      <c r="C287" s="114" t="s">
        <v>165</v>
      </c>
    </row>
    <row r="288" spans="1:3" x14ac:dyDescent="0.25">
      <c r="A288" s="115">
        <v>41711.229166666701</v>
      </c>
      <c r="B288" s="114">
        <v>9</v>
      </c>
      <c r="C288" s="114" t="s">
        <v>164</v>
      </c>
    </row>
    <row r="289" spans="1:3" x14ac:dyDescent="0.25">
      <c r="A289" s="115">
        <v>41711.483333333301</v>
      </c>
      <c r="B289" s="114">
        <v>43.8</v>
      </c>
      <c r="C289" s="114" t="s">
        <v>165</v>
      </c>
    </row>
    <row r="290" spans="1:3" x14ac:dyDescent="0.25">
      <c r="A290" s="115">
        <v>41711.7319444444</v>
      </c>
      <c r="B290" s="114">
        <v>9.9</v>
      </c>
      <c r="C290" s="114" t="s">
        <v>164</v>
      </c>
    </row>
    <row r="291" spans="1:3" x14ac:dyDescent="0.25">
      <c r="A291" s="115">
        <v>41711.997222222199</v>
      </c>
      <c r="B291" s="114">
        <v>43.7</v>
      </c>
      <c r="C291" s="114" t="s">
        <v>165</v>
      </c>
    </row>
    <row r="292" spans="1:3" x14ac:dyDescent="0.25">
      <c r="A292" s="115">
        <v>41712.261111111096</v>
      </c>
      <c r="B292" s="114">
        <v>7.7</v>
      </c>
      <c r="C292" s="114" t="s">
        <v>164</v>
      </c>
    </row>
    <row r="293" spans="1:3" x14ac:dyDescent="0.25">
      <c r="A293" s="115">
        <v>41712.506249999999</v>
      </c>
      <c r="B293" s="114">
        <v>45.7</v>
      </c>
      <c r="C293" s="114" t="s">
        <v>165</v>
      </c>
    </row>
    <row r="294" spans="1:3" x14ac:dyDescent="0.25">
      <c r="A294" s="115">
        <v>41712.760416666701</v>
      </c>
      <c r="B294" s="114">
        <v>8.9</v>
      </c>
      <c r="C294" s="114" t="s">
        <v>164</v>
      </c>
    </row>
    <row r="295" spans="1:3" x14ac:dyDescent="0.25">
      <c r="A295" s="115">
        <v>41713.0180555556</v>
      </c>
      <c r="B295" s="114">
        <v>45.3</v>
      </c>
      <c r="C295" s="114" t="s">
        <v>165</v>
      </c>
    </row>
    <row r="296" spans="1:3" x14ac:dyDescent="0.25">
      <c r="A296" s="115">
        <v>41713.28125</v>
      </c>
      <c r="B296" s="114">
        <v>6.7</v>
      </c>
      <c r="C296" s="114" t="s">
        <v>164</v>
      </c>
    </row>
    <row r="297" spans="1:3" x14ac:dyDescent="0.25">
      <c r="A297" s="115">
        <v>41713.528472222199</v>
      </c>
      <c r="B297" s="114">
        <v>47.2</v>
      </c>
      <c r="C297" s="114" t="s">
        <v>165</v>
      </c>
    </row>
    <row r="298" spans="1:3" x14ac:dyDescent="0.25">
      <c r="A298" s="115">
        <v>41713.784722222197</v>
      </c>
      <c r="B298" s="114">
        <v>7.9</v>
      </c>
      <c r="C298" s="114" t="s">
        <v>164</v>
      </c>
    </row>
    <row r="299" spans="1:3" x14ac:dyDescent="0.25">
      <c r="A299" s="115">
        <v>41714.038888888899</v>
      </c>
      <c r="B299" s="114">
        <v>46.8</v>
      </c>
      <c r="C299" s="114" t="s">
        <v>165</v>
      </c>
    </row>
    <row r="300" spans="1:3" x14ac:dyDescent="0.25">
      <c r="A300" s="115">
        <v>41714.302777777797</v>
      </c>
      <c r="B300" s="114">
        <v>5.8</v>
      </c>
      <c r="C300" s="114" t="s">
        <v>164</v>
      </c>
    </row>
    <row r="301" spans="1:3" x14ac:dyDescent="0.25">
      <c r="A301" s="115">
        <v>41714.547222222202</v>
      </c>
      <c r="B301" s="114">
        <v>48.6</v>
      </c>
      <c r="C301" s="114" t="s">
        <v>165</v>
      </c>
    </row>
    <row r="302" spans="1:3" x14ac:dyDescent="0.25">
      <c r="A302" s="115">
        <v>41714.809722222199</v>
      </c>
      <c r="B302" s="114">
        <v>6.9</v>
      </c>
      <c r="C302" s="114" t="s">
        <v>164</v>
      </c>
    </row>
    <row r="303" spans="1:3" x14ac:dyDescent="0.25">
      <c r="A303" s="115">
        <v>41715.056944444397</v>
      </c>
      <c r="B303" s="114">
        <v>48.4</v>
      </c>
      <c r="C303" s="114" t="s">
        <v>165</v>
      </c>
    </row>
    <row r="304" spans="1:3" x14ac:dyDescent="0.25">
      <c r="A304" s="115">
        <v>41715.322916666701</v>
      </c>
      <c r="B304" s="114">
        <v>4.8</v>
      </c>
      <c r="C304" s="114" t="s">
        <v>164</v>
      </c>
    </row>
    <row r="305" spans="1:3" x14ac:dyDescent="0.25">
      <c r="A305" s="115">
        <v>41715.568055555603</v>
      </c>
      <c r="B305" s="114">
        <v>49.8</v>
      </c>
      <c r="C305" s="114" t="s">
        <v>165</v>
      </c>
    </row>
    <row r="306" spans="1:3" x14ac:dyDescent="0.25">
      <c r="A306" s="115">
        <v>41715.829861111102</v>
      </c>
      <c r="B306" s="114">
        <v>6</v>
      </c>
      <c r="C306" s="114" t="s">
        <v>164</v>
      </c>
    </row>
    <row r="307" spans="1:3" x14ac:dyDescent="0.25">
      <c r="A307" s="115">
        <v>41716.078472222202</v>
      </c>
      <c r="B307" s="114">
        <v>49.5</v>
      </c>
      <c r="C307" s="114" t="s">
        <v>165</v>
      </c>
    </row>
    <row r="308" spans="1:3" x14ac:dyDescent="0.25">
      <c r="A308" s="115">
        <v>41716.350694444402</v>
      </c>
      <c r="B308" s="114">
        <v>4.0999999999999996</v>
      </c>
      <c r="C308" s="114" t="s">
        <v>164</v>
      </c>
    </row>
    <row r="309" spans="1:3" x14ac:dyDescent="0.25">
      <c r="A309" s="115">
        <v>41716.590972222199</v>
      </c>
      <c r="B309" s="114">
        <v>50.4</v>
      </c>
      <c r="C309" s="114" t="s">
        <v>165</v>
      </c>
    </row>
    <row r="310" spans="1:3" x14ac:dyDescent="0.25">
      <c r="A310" s="115">
        <v>41716.858333333301</v>
      </c>
      <c r="B310" s="114">
        <v>5.6</v>
      </c>
      <c r="C310" s="114" t="s">
        <v>164</v>
      </c>
    </row>
    <row r="311" spans="1:3" x14ac:dyDescent="0.25">
      <c r="A311" s="115">
        <v>41717.101388888899</v>
      </c>
      <c r="B311" s="114">
        <v>49.9</v>
      </c>
      <c r="C311" s="114" t="s">
        <v>165</v>
      </c>
    </row>
    <row r="312" spans="1:3" x14ac:dyDescent="0.25">
      <c r="A312" s="115">
        <v>41717.375</v>
      </c>
      <c r="B312" s="114">
        <v>4</v>
      </c>
      <c r="C312" s="114" t="s">
        <v>164</v>
      </c>
    </row>
    <row r="313" spans="1:3" x14ac:dyDescent="0.25">
      <c r="A313" s="115">
        <v>41717.615277777797</v>
      </c>
      <c r="B313" s="114">
        <v>50.2</v>
      </c>
      <c r="C313" s="114" t="s">
        <v>165</v>
      </c>
    </row>
    <row r="314" spans="1:3" x14ac:dyDescent="0.25">
      <c r="A314" s="115">
        <v>41717.881944444402</v>
      </c>
      <c r="B314" s="114">
        <v>5.6</v>
      </c>
      <c r="C314" s="114" t="s">
        <v>164</v>
      </c>
    </row>
    <row r="315" spans="1:3" x14ac:dyDescent="0.25">
      <c r="A315" s="115">
        <v>41718.124305555597</v>
      </c>
      <c r="B315" s="114">
        <v>49.7</v>
      </c>
      <c r="C315" s="114" t="s">
        <v>165</v>
      </c>
    </row>
    <row r="316" spans="1:3" x14ac:dyDescent="0.25">
      <c r="A316" s="115">
        <v>41718.399305555598</v>
      </c>
      <c r="B316" s="114">
        <v>4.4000000000000004</v>
      </c>
      <c r="C316" s="114" t="s">
        <v>164</v>
      </c>
    </row>
    <row r="317" spans="1:3" x14ac:dyDescent="0.25">
      <c r="A317" s="115">
        <v>41718.637499999997</v>
      </c>
      <c r="B317" s="114">
        <v>49.6</v>
      </c>
      <c r="C317" s="114" t="s">
        <v>165</v>
      </c>
    </row>
    <row r="318" spans="1:3" x14ac:dyDescent="0.25">
      <c r="A318" s="115">
        <v>41718.906944444403</v>
      </c>
      <c r="B318" s="114">
        <v>5.9</v>
      </c>
      <c r="C318" s="114" t="s">
        <v>164</v>
      </c>
    </row>
    <row r="319" spans="1:3" x14ac:dyDescent="0.25">
      <c r="A319" s="115">
        <v>41719.149305555598</v>
      </c>
      <c r="B319" s="114">
        <v>49.4</v>
      </c>
      <c r="C319" s="114" t="s">
        <v>165</v>
      </c>
    </row>
    <row r="320" spans="1:3" x14ac:dyDescent="0.25">
      <c r="A320" s="115">
        <v>41719.425000000003</v>
      </c>
      <c r="B320" s="114">
        <v>5</v>
      </c>
      <c r="C320" s="114" t="s">
        <v>164</v>
      </c>
    </row>
    <row r="321" spans="1:3" x14ac:dyDescent="0.25">
      <c r="A321" s="115">
        <v>41719.663194444402</v>
      </c>
      <c r="B321" s="114">
        <v>48.6</v>
      </c>
      <c r="C321" s="114" t="s">
        <v>165</v>
      </c>
    </row>
    <row r="322" spans="1:3" x14ac:dyDescent="0.25">
      <c r="A322" s="115">
        <v>41719.934722222199</v>
      </c>
      <c r="B322" s="114">
        <v>6.2</v>
      </c>
      <c r="C322" s="114" t="s">
        <v>164</v>
      </c>
    </row>
    <row r="323" spans="1:3" x14ac:dyDescent="0.25">
      <c r="A323" s="115">
        <v>41720.176388888904</v>
      </c>
      <c r="B323" s="114">
        <v>48.6</v>
      </c>
      <c r="C323" s="114" t="s">
        <v>165</v>
      </c>
    </row>
    <row r="324" spans="1:3" x14ac:dyDescent="0.25">
      <c r="A324" s="115">
        <v>41720.451388888898</v>
      </c>
      <c r="B324" s="114">
        <v>5.8</v>
      </c>
      <c r="C324" s="114" t="s">
        <v>164</v>
      </c>
    </row>
    <row r="325" spans="1:3" x14ac:dyDescent="0.25">
      <c r="A325" s="115">
        <v>41720.692361111098</v>
      </c>
      <c r="B325" s="114">
        <v>47</v>
      </c>
      <c r="C325" s="114" t="s">
        <v>165</v>
      </c>
    </row>
    <row r="326" spans="1:3" x14ac:dyDescent="0.25">
      <c r="A326" s="115">
        <v>41720.962500000001</v>
      </c>
      <c r="B326" s="114">
        <v>6.7</v>
      </c>
      <c r="C326" s="114" t="s">
        <v>164</v>
      </c>
    </row>
    <row r="327" spans="1:3" x14ac:dyDescent="0.25">
      <c r="A327" s="115">
        <v>41721.206944444399</v>
      </c>
      <c r="B327" s="114">
        <v>46.9</v>
      </c>
      <c r="C327" s="114" t="s">
        <v>165</v>
      </c>
    </row>
    <row r="328" spans="1:3" x14ac:dyDescent="0.25">
      <c r="A328" s="115">
        <v>41721.485416666699</v>
      </c>
      <c r="B328" s="114">
        <v>7</v>
      </c>
      <c r="C328" s="114" t="s">
        <v>164</v>
      </c>
    </row>
    <row r="329" spans="1:3" x14ac:dyDescent="0.25">
      <c r="A329" s="115">
        <v>41721.7277777778</v>
      </c>
      <c r="B329" s="114">
        <v>44.4</v>
      </c>
      <c r="C329" s="114" t="s">
        <v>165</v>
      </c>
    </row>
    <row r="330" spans="1:3" x14ac:dyDescent="0.25">
      <c r="A330" s="115">
        <v>41722</v>
      </c>
      <c r="B330" s="114">
        <v>7.6</v>
      </c>
      <c r="C330" s="114" t="s">
        <v>164</v>
      </c>
    </row>
    <row r="331" spans="1:3" x14ac:dyDescent="0.25">
      <c r="A331" s="115">
        <v>41722.251388888901</v>
      </c>
      <c r="B331" s="114">
        <v>44.3</v>
      </c>
      <c r="C331" s="114" t="s">
        <v>165</v>
      </c>
    </row>
    <row r="332" spans="1:3" x14ac:dyDescent="0.25">
      <c r="A332" s="115">
        <v>41722.525000000001</v>
      </c>
      <c r="B332" s="114">
        <v>8.8000000000000007</v>
      </c>
      <c r="C332" s="114" t="s">
        <v>164</v>
      </c>
    </row>
    <row r="333" spans="1:3" x14ac:dyDescent="0.25">
      <c r="A333" s="115">
        <v>41722.784027777801</v>
      </c>
      <c r="B333" s="114">
        <v>41.7</v>
      </c>
      <c r="C333" s="114" t="s">
        <v>165</v>
      </c>
    </row>
    <row r="334" spans="1:3" x14ac:dyDescent="0.25">
      <c r="A334" s="115">
        <v>41723.048611111102</v>
      </c>
      <c r="B334" s="114">
        <v>8.8000000000000007</v>
      </c>
      <c r="C334" s="114" t="s">
        <v>164</v>
      </c>
    </row>
    <row r="335" spans="1:3" x14ac:dyDescent="0.25">
      <c r="A335" s="115">
        <v>41723.313194444403</v>
      </c>
      <c r="B335" s="114">
        <v>42.3</v>
      </c>
      <c r="C335" s="114" t="s">
        <v>165</v>
      </c>
    </row>
    <row r="336" spans="1:3" x14ac:dyDescent="0.25">
      <c r="A336" s="115">
        <v>41723.572916666701</v>
      </c>
      <c r="B336" s="114">
        <v>10.3</v>
      </c>
      <c r="C336" s="114" t="s">
        <v>164</v>
      </c>
    </row>
    <row r="337" spans="1:3" x14ac:dyDescent="0.25">
      <c r="A337" s="115">
        <v>41723.840972222199</v>
      </c>
      <c r="B337" s="114">
        <v>40.299999999999997</v>
      </c>
      <c r="C337" s="114" t="s">
        <v>165</v>
      </c>
    </row>
    <row r="338" spans="1:3" x14ac:dyDescent="0.25">
      <c r="A338" s="115">
        <v>41724.1</v>
      </c>
      <c r="B338" s="114">
        <v>9.3000000000000007</v>
      </c>
      <c r="C338" s="114" t="s">
        <v>164</v>
      </c>
    </row>
    <row r="339" spans="1:3" x14ac:dyDescent="0.25">
      <c r="A339" s="115">
        <v>41724.368055555598</v>
      </c>
      <c r="B339" s="114">
        <v>42.2</v>
      </c>
      <c r="C339" s="114" t="s">
        <v>165</v>
      </c>
    </row>
    <row r="340" spans="1:3" x14ac:dyDescent="0.25">
      <c r="A340" s="115">
        <v>41724.631944444402</v>
      </c>
      <c r="B340" s="114">
        <v>10.7</v>
      </c>
      <c r="C340" s="114" t="s">
        <v>164</v>
      </c>
    </row>
    <row r="341" spans="1:3" x14ac:dyDescent="0.25">
      <c r="A341" s="115">
        <v>41724.895833333299</v>
      </c>
      <c r="B341" s="114">
        <v>40.9</v>
      </c>
      <c r="C341" s="114" t="s">
        <v>165</v>
      </c>
    </row>
    <row r="342" spans="1:3" x14ac:dyDescent="0.25">
      <c r="A342" s="115">
        <v>41725.166666666701</v>
      </c>
      <c r="B342" s="114">
        <v>8.3000000000000007</v>
      </c>
      <c r="C342" s="114" t="s">
        <v>164</v>
      </c>
    </row>
    <row r="343" spans="1:3" x14ac:dyDescent="0.25">
      <c r="A343" s="115">
        <v>41725.417361111096</v>
      </c>
      <c r="B343" s="114">
        <v>44.1</v>
      </c>
      <c r="C343" s="114" t="s">
        <v>165</v>
      </c>
    </row>
    <row r="344" spans="1:3" x14ac:dyDescent="0.25">
      <c r="A344" s="115">
        <v>41725.6875</v>
      </c>
      <c r="B344" s="114">
        <v>9.6999999999999993</v>
      </c>
      <c r="C344" s="114" t="s">
        <v>164</v>
      </c>
    </row>
    <row r="345" spans="1:3" x14ac:dyDescent="0.25">
      <c r="A345" s="115">
        <v>41725.941666666702</v>
      </c>
      <c r="B345" s="114">
        <v>43.3</v>
      </c>
      <c r="C345" s="114" t="s">
        <v>165</v>
      </c>
    </row>
    <row r="346" spans="1:3" x14ac:dyDescent="0.25">
      <c r="A346" s="115">
        <v>41726.214583333298</v>
      </c>
      <c r="B346" s="114">
        <v>6.2</v>
      </c>
      <c r="C346" s="114" t="s">
        <v>164</v>
      </c>
    </row>
    <row r="347" spans="1:3" x14ac:dyDescent="0.25">
      <c r="A347" s="115">
        <v>41726.461805555598</v>
      </c>
      <c r="B347" s="114">
        <v>46.7</v>
      </c>
      <c r="C347" s="114" t="s">
        <v>165</v>
      </c>
    </row>
    <row r="348" spans="1:3" x14ac:dyDescent="0.25">
      <c r="A348" s="115">
        <v>41726.732638888898</v>
      </c>
      <c r="B348" s="114">
        <v>8.1999999999999993</v>
      </c>
      <c r="C348" s="114" t="s">
        <v>164</v>
      </c>
    </row>
    <row r="349" spans="1:3" x14ac:dyDescent="0.25">
      <c r="A349" s="115">
        <v>41726.977083333302</v>
      </c>
      <c r="B349" s="114">
        <v>46.1</v>
      </c>
      <c r="C349" s="114" t="s">
        <v>165</v>
      </c>
    </row>
    <row r="350" spans="1:3" x14ac:dyDescent="0.25">
      <c r="A350" s="115">
        <v>41727.253472222197</v>
      </c>
      <c r="B350" s="114">
        <v>4.2</v>
      </c>
      <c r="C350" s="114" t="s">
        <v>164</v>
      </c>
    </row>
    <row r="351" spans="1:3" x14ac:dyDescent="0.25">
      <c r="A351" s="115">
        <v>41727.493055555598</v>
      </c>
      <c r="B351" s="114">
        <v>49</v>
      </c>
      <c r="C351" s="114" t="s">
        <v>165</v>
      </c>
    </row>
    <row r="352" spans="1:3" x14ac:dyDescent="0.25">
      <c r="A352" s="115">
        <v>41727.762499999997</v>
      </c>
      <c r="B352" s="114">
        <v>6.8</v>
      </c>
      <c r="C352" s="114" t="s">
        <v>164</v>
      </c>
    </row>
    <row r="353" spans="1:3" x14ac:dyDescent="0.25">
      <c r="A353" s="115">
        <v>41728.008333333302</v>
      </c>
      <c r="B353" s="114">
        <v>48.4</v>
      </c>
      <c r="C353" s="114" t="s">
        <v>165</v>
      </c>
    </row>
    <row r="354" spans="1:3" x14ac:dyDescent="0.25">
      <c r="A354" s="115">
        <v>41728.283333333296</v>
      </c>
      <c r="B354" s="114">
        <v>2.8</v>
      </c>
      <c r="C354" s="114" t="s">
        <v>164</v>
      </c>
    </row>
    <row r="355" spans="1:3" x14ac:dyDescent="0.25">
      <c r="A355" s="115">
        <v>41728.524305555598</v>
      </c>
      <c r="B355" s="114">
        <v>50.4</v>
      </c>
      <c r="C355" s="114" t="s">
        <v>165</v>
      </c>
    </row>
    <row r="356" spans="1:3" x14ac:dyDescent="0.25">
      <c r="A356" s="115">
        <v>41728.793055555601</v>
      </c>
      <c r="B356" s="114">
        <v>5.8</v>
      </c>
      <c r="C356" s="114" t="s">
        <v>164</v>
      </c>
    </row>
    <row r="357" spans="1:3" x14ac:dyDescent="0.25">
      <c r="A357" s="115">
        <v>41729.038194444402</v>
      </c>
      <c r="B357" s="114">
        <v>50.2</v>
      </c>
      <c r="C357" s="114" t="s">
        <v>165</v>
      </c>
    </row>
    <row r="358" spans="1:3" x14ac:dyDescent="0.25">
      <c r="A358" s="115">
        <v>41729.313888888901</v>
      </c>
      <c r="B358" s="114">
        <v>2.1</v>
      </c>
      <c r="C358" s="114" t="s">
        <v>164</v>
      </c>
    </row>
    <row r="359" spans="1:3" x14ac:dyDescent="0.25">
      <c r="A359" s="115">
        <v>41729.552777777797</v>
      </c>
      <c r="B359" s="114">
        <v>51.2</v>
      </c>
      <c r="C359" s="114" t="s">
        <v>165</v>
      </c>
    </row>
    <row r="360" spans="1:3" x14ac:dyDescent="0.25">
      <c r="A360" s="115">
        <v>41729.823611111096</v>
      </c>
      <c r="B360" s="114">
        <v>5.0999999999999996</v>
      </c>
      <c r="C360" s="114" t="s">
        <v>164</v>
      </c>
    </row>
    <row r="361" spans="1:3" x14ac:dyDescent="0.25">
      <c r="A361" s="115">
        <v>41730.066666666702</v>
      </c>
      <c r="B361" s="114">
        <v>51.3</v>
      </c>
      <c r="C361" s="114" t="s">
        <v>165</v>
      </c>
    </row>
    <row r="362" spans="1:3" x14ac:dyDescent="0.25">
      <c r="A362" s="115">
        <v>41730.340972222199</v>
      </c>
      <c r="B362" s="114">
        <v>2</v>
      </c>
      <c r="C362" s="114" t="s">
        <v>164</v>
      </c>
    </row>
    <row r="363" spans="1:3" x14ac:dyDescent="0.25">
      <c r="A363" s="115">
        <v>41730.582638888904</v>
      </c>
      <c r="B363" s="114">
        <v>51.3</v>
      </c>
      <c r="C363" s="114" t="s">
        <v>165</v>
      </c>
    </row>
    <row r="364" spans="1:3" x14ac:dyDescent="0.25">
      <c r="A364" s="115">
        <v>41730.850694444402</v>
      </c>
      <c r="B364" s="114">
        <v>4.7</v>
      </c>
      <c r="C364" s="114" t="s">
        <v>164</v>
      </c>
    </row>
    <row r="365" spans="1:3" x14ac:dyDescent="0.25">
      <c r="A365" s="115">
        <v>41731.095833333296</v>
      </c>
      <c r="B365" s="114">
        <v>51.7</v>
      </c>
      <c r="C365" s="114" t="s">
        <v>165</v>
      </c>
    </row>
    <row r="366" spans="1:3" x14ac:dyDescent="0.25">
      <c r="A366" s="115">
        <v>41731.372222222199</v>
      </c>
      <c r="B366" s="114">
        <v>2.6</v>
      </c>
      <c r="C366" s="114" t="s">
        <v>164</v>
      </c>
    </row>
    <row r="367" spans="1:3" x14ac:dyDescent="0.25">
      <c r="A367" s="115">
        <v>41731.613194444399</v>
      </c>
      <c r="B367" s="114">
        <v>50.5</v>
      </c>
      <c r="C367" s="114" t="s">
        <v>165</v>
      </c>
    </row>
    <row r="368" spans="1:3" x14ac:dyDescent="0.25">
      <c r="A368" s="115">
        <v>41731.879166666702</v>
      </c>
      <c r="B368" s="114">
        <v>4.8</v>
      </c>
      <c r="C368" s="114" t="s">
        <v>164</v>
      </c>
    </row>
    <row r="369" spans="1:3" x14ac:dyDescent="0.25">
      <c r="A369" s="115">
        <v>41732.125694444403</v>
      </c>
      <c r="B369" s="114">
        <v>51.1</v>
      </c>
      <c r="C369" s="114" t="s">
        <v>165</v>
      </c>
    </row>
    <row r="370" spans="1:3" x14ac:dyDescent="0.25">
      <c r="A370" s="115">
        <v>41732.3972222222</v>
      </c>
      <c r="B370" s="114">
        <v>3.7</v>
      </c>
      <c r="C370" s="114" t="s">
        <v>164</v>
      </c>
    </row>
    <row r="371" spans="1:3" x14ac:dyDescent="0.25">
      <c r="A371" s="115">
        <v>41732.640972222202</v>
      </c>
      <c r="B371" s="114">
        <v>48.9</v>
      </c>
      <c r="C371" s="114" t="s">
        <v>165</v>
      </c>
    </row>
    <row r="372" spans="1:3" x14ac:dyDescent="0.25">
      <c r="A372" s="115">
        <v>41732.90625</v>
      </c>
      <c r="B372" s="114">
        <v>5.3</v>
      </c>
      <c r="C372" s="114" t="s">
        <v>164</v>
      </c>
    </row>
    <row r="373" spans="1:3" x14ac:dyDescent="0.25">
      <c r="A373" s="115">
        <v>41733.154166666704</v>
      </c>
      <c r="B373" s="114">
        <v>49.7</v>
      </c>
      <c r="C373" s="114" t="s">
        <v>165</v>
      </c>
    </row>
    <row r="374" spans="1:3" x14ac:dyDescent="0.25">
      <c r="A374" s="115">
        <v>41733.420833333301</v>
      </c>
      <c r="B374" s="114">
        <v>5.4</v>
      </c>
      <c r="C374" s="114" t="s">
        <v>164</v>
      </c>
    </row>
    <row r="375" spans="1:3" x14ac:dyDescent="0.25">
      <c r="A375" s="115">
        <v>41733.670138888898</v>
      </c>
      <c r="B375" s="114">
        <v>46.7</v>
      </c>
      <c r="C375" s="114" t="s">
        <v>165</v>
      </c>
    </row>
    <row r="376" spans="1:3" x14ac:dyDescent="0.25">
      <c r="A376" s="115">
        <v>41733.934722222199</v>
      </c>
      <c r="B376" s="114">
        <v>6.3</v>
      </c>
      <c r="C376" s="114" t="s">
        <v>164</v>
      </c>
    </row>
    <row r="377" spans="1:3" x14ac:dyDescent="0.25">
      <c r="A377" s="115">
        <v>41734.184722222199</v>
      </c>
      <c r="B377" s="114">
        <v>47.4</v>
      </c>
      <c r="C377" s="114" t="s">
        <v>165</v>
      </c>
    </row>
    <row r="378" spans="1:3" x14ac:dyDescent="0.25">
      <c r="A378" s="115">
        <v>41734.448611111096</v>
      </c>
      <c r="B378" s="114">
        <v>7.2</v>
      </c>
      <c r="C378" s="114" t="s">
        <v>164</v>
      </c>
    </row>
    <row r="379" spans="1:3" x14ac:dyDescent="0.25">
      <c r="A379" s="115">
        <v>41734.701388888898</v>
      </c>
      <c r="B379" s="114">
        <v>44.2</v>
      </c>
      <c r="C379" s="114" t="s">
        <v>165</v>
      </c>
    </row>
    <row r="380" spans="1:3" x14ac:dyDescent="0.25">
      <c r="A380" s="115">
        <v>41734.962500000001</v>
      </c>
      <c r="B380" s="114">
        <v>7.6</v>
      </c>
      <c r="C380" s="114" t="s">
        <v>164</v>
      </c>
    </row>
    <row r="381" spans="1:3" x14ac:dyDescent="0.25">
      <c r="A381" s="115">
        <v>41735.213194444397</v>
      </c>
      <c r="B381" s="114">
        <v>44.8</v>
      </c>
      <c r="C381" s="114" t="s">
        <v>165</v>
      </c>
    </row>
    <row r="382" spans="1:3" x14ac:dyDescent="0.25">
      <c r="A382" s="115">
        <v>41735.476388888899</v>
      </c>
      <c r="B382" s="114">
        <v>9.3000000000000007</v>
      </c>
      <c r="C382" s="114" t="s">
        <v>164</v>
      </c>
    </row>
    <row r="383" spans="1:3" x14ac:dyDescent="0.25">
      <c r="A383" s="115">
        <v>41735.733333333301</v>
      </c>
      <c r="B383" s="114">
        <v>41.5</v>
      </c>
      <c r="C383" s="114" t="s">
        <v>165</v>
      </c>
    </row>
    <row r="384" spans="1:3" x14ac:dyDescent="0.25">
      <c r="A384" s="115">
        <v>41735.997222222199</v>
      </c>
      <c r="B384" s="114">
        <v>9.3000000000000007</v>
      </c>
      <c r="C384" s="114" t="s">
        <v>164</v>
      </c>
    </row>
    <row r="385" spans="1:3" x14ac:dyDescent="0.25">
      <c r="A385" s="115">
        <v>41736.254166666702</v>
      </c>
      <c r="B385" s="114">
        <v>41.7</v>
      </c>
      <c r="C385" s="114" t="s">
        <v>165</v>
      </c>
    </row>
    <row r="386" spans="1:3" x14ac:dyDescent="0.25">
      <c r="A386" s="115">
        <v>41736.5180555556</v>
      </c>
      <c r="B386" s="114">
        <v>11.5</v>
      </c>
      <c r="C386" s="114" t="s">
        <v>164</v>
      </c>
    </row>
    <row r="387" spans="1:3" x14ac:dyDescent="0.25">
      <c r="A387" s="115">
        <v>41736.7680555556</v>
      </c>
      <c r="B387" s="114">
        <v>38.700000000000003</v>
      </c>
      <c r="C387" s="114" t="s">
        <v>165</v>
      </c>
    </row>
    <row r="388" spans="1:3" x14ac:dyDescent="0.25">
      <c r="A388" s="115">
        <v>41737.045138888898</v>
      </c>
      <c r="B388" s="114">
        <v>10.9</v>
      </c>
      <c r="C388" s="114" t="s">
        <v>164</v>
      </c>
    </row>
    <row r="389" spans="1:3" x14ac:dyDescent="0.25">
      <c r="A389" s="115">
        <v>41737.2944444444</v>
      </c>
      <c r="B389" s="114">
        <v>38.9</v>
      </c>
      <c r="C389" s="114" t="s">
        <v>165</v>
      </c>
    </row>
    <row r="390" spans="1:3" x14ac:dyDescent="0.25">
      <c r="A390" s="115">
        <v>41737.576388888898</v>
      </c>
      <c r="B390" s="114">
        <v>12.8</v>
      </c>
      <c r="C390" s="114" t="s">
        <v>164</v>
      </c>
    </row>
    <row r="391" spans="1:3" x14ac:dyDescent="0.25">
      <c r="A391" s="115">
        <v>41737.819444444402</v>
      </c>
      <c r="B391" s="114">
        <v>36.4</v>
      </c>
      <c r="C391" s="114" t="s">
        <v>165</v>
      </c>
    </row>
    <row r="392" spans="1:3" x14ac:dyDescent="0.25">
      <c r="A392" s="115">
        <v>41738.100694444402</v>
      </c>
      <c r="B392" s="114">
        <v>11.2</v>
      </c>
      <c r="C392" s="114" t="s">
        <v>164</v>
      </c>
    </row>
    <row r="393" spans="1:3" x14ac:dyDescent="0.25">
      <c r="A393" s="115">
        <v>41738.364583333299</v>
      </c>
      <c r="B393" s="114">
        <v>38</v>
      </c>
      <c r="C393" s="114" t="s">
        <v>165</v>
      </c>
    </row>
    <row r="394" spans="1:3" x14ac:dyDescent="0.25">
      <c r="A394" s="115">
        <v>41738.620833333298</v>
      </c>
      <c r="B394" s="114">
        <v>12.6</v>
      </c>
      <c r="C394" s="114" t="s">
        <v>164</v>
      </c>
    </row>
    <row r="395" spans="1:3" x14ac:dyDescent="0.25">
      <c r="A395" s="115">
        <v>41738.9</v>
      </c>
      <c r="B395" s="114">
        <v>37</v>
      </c>
      <c r="C395" s="114" t="s">
        <v>165</v>
      </c>
    </row>
    <row r="396" spans="1:3" x14ac:dyDescent="0.25">
      <c r="A396" s="115">
        <v>41739.147916666698</v>
      </c>
      <c r="B396" s="114">
        <v>10.6</v>
      </c>
      <c r="C396" s="114" t="s">
        <v>164</v>
      </c>
    </row>
    <row r="397" spans="1:3" x14ac:dyDescent="0.25">
      <c r="A397" s="115">
        <v>41739.418055555601</v>
      </c>
      <c r="B397" s="114">
        <v>40.1</v>
      </c>
      <c r="C397" s="114" t="s">
        <v>165</v>
      </c>
    </row>
    <row r="398" spans="1:3" x14ac:dyDescent="0.25">
      <c r="A398" s="115">
        <v>41739.670138888898</v>
      </c>
      <c r="B398" s="114">
        <v>11.4</v>
      </c>
      <c r="C398" s="114" t="s">
        <v>164</v>
      </c>
    </row>
    <row r="399" spans="1:3" x14ac:dyDescent="0.25">
      <c r="A399" s="115">
        <v>41739.941666666702</v>
      </c>
      <c r="B399" s="114">
        <v>39.700000000000003</v>
      </c>
      <c r="C399" s="114" t="s">
        <v>165</v>
      </c>
    </row>
    <row r="400" spans="1:3" x14ac:dyDescent="0.25">
      <c r="A400" s="115">
        <v>41740.193749999999</v>
      </c>
      <c r="B400" s="114">
        <v>9.1</v>
      </c>
      <c r="C400" s="114" t="s">
        <v>164</v>
      </c>
    </row>
    <row r="401" spans="1:3" x14ac:dyDescent="0.25">
      <c r="A401" s="115">
        <v>41740.456250000003</v>
      </c>
      <c r="B401" s="114">
        <v>42.8</v>
      </c>
      <c r="C401" s="114" t="s">
        <v>165</v>
      </c>
    </row>
    <row r="402" spans="1:3" x14ac:dyDescent="0.25">
      <c r="A402" s="115">
        <v>41740.704166666699</v>
      </c>
      <c r="B402" s="114">
        <v>9.9</v>
      </c>
      <c r="C402" s="114" t="s">
        <v>164</v>
      </c>
    </row>
    <row r="403" spans="1:3" x14ac:dyDescent="0.25">
      <c r="A403" s="115">
        <v>41740.96875</v>
      </c>
      <c r="B403" s="114">
        <v>42.4</v>
      </c>
      <c r="C403" s="114" t="s">
        <v>165</v>
      </c>
    </row>
    <row r="404" spans="1:3" x14ac:dyDescent="0.25">
      <c r="A404" s="115">
        <v>41741.228472222203</v>
      </c>
      <c r="B404" s="114">
        <v>7.7</v>
      </c>
      <c r="C404" s="114" t="s">
        <v>164</v>
      </c>
    </row>
    <row r="405" spans="1:3" x14ac:dyDescent="0.25">
      <c r="A405" s="115">
        <v>41741.483333333301</v>
      </c>
      <c r="B405" s="114">
        <v>45.2</v>
      </c>
      <c r="C405" s="114" t="s">
        <v>165</v>
      </c>
    </row>
    <row r="406" spans="1:3" x14ac:dyDescent="0.25">
      <c r="A406" s="115">
        <v>41741.739583333299</v>
      </c>
      <c r="B406" s="114">
        <v>8.6</v>
      </c>
      <c r="C406" s="114" t="s">
        <v>164</v>
      </c>
    </row>
    <row r="407" spans="1:3" x14ac:dyDescent="0.25">
      <c r="A407" s="115">
        <v>41741.992361111101</v>
      </c>
      <c r="B407" s="114">
        <v>44.6</v>
      </c>
      <c r="C407" s="114" t="s">
        <v>165</v>
      </c>
    </row>
    <row r="408" spans="1:3" x14ac:dyDescent="0.25">
      <c r="A408" s="115">
        <v>41742.256944444402</v>
      </c>
      <c r="B408" s="114">
        <v>6.7</v>
      </c>
      <c r="C408" s="114" t="s">
        <v>164</v>
      </c>
    </row>
    <row r="409" spans="1:3" x14ac:dyDescent="0.25">
      <c r="A409" s="115">
        <v>41742.503472222197</v>
      </c>
      <c r="B409" s="114">
        <v>47.1</v>
      </c>
      <c r="C409" s="114" t="s">
        <v>165</v>
      </c>
    </row>
    <row r="410" spans="1:3" x14ac:dyDescent="0.25">
      <c r="A410" s="115">
        <v>41742.761111111096</v>
      </c>
      <c r="B410" s="114">
        <v>7.5</v>
      </c>
      <c r="C410" s="114" t="s">
        <v>164</v>
      </c>
    </row>
    <row r="411" spans="1:3" x14ac:dyDescent="0.25">
      <c r="A411" s="115">
        <v>41743.012499999997</v>
      </c>
      <c r="B411" s="114">
        <v>46.5</v>
      </c>
      <c r="C411" s="114" t="s">
        <v>165</v>
      </c>
    </row>
    <row r="412" spans="1:3" x14ac:dyDescent="0.25">
      <c r="A412" s="115">
        <v>41743.277083333298</v>
      </c>
      <c r="B412" s="114">
        <v>5.7</v>
      </c>
      <c r="C412" s="114" t="s">
        <v>164</v>
      </c>
    </row>
    <row r="413" spans="1:3" x14ac:dyDescent="0.25">
      <c r="A413" s="115">
        <v>41743.525000000001</v>
      </c>
      <c r="B413" s="114">
        <v>48.8</v>
      </c>
      <c r="C413" s="114" t="s">
        <v>165</v>
      </c>
    </row>
    <row r="414" spans="1:3" x14ac:dyDescent="0.25">
      <c r="A414" s="115">
        <v>41743.786111111098</v>
      </c>
      <c r="B414" s="114">
        <v>6.3</v>
      </c>
      <c r="C414" s="114" t="s">
        <v>164</v>
      </c>
    </row>
    <row r="415" spans="1:3" x14ac:dyDescent="0.25">
      <c r="A415" s="115">
        <v>41744.034722222197</v>
      </c>
      <c r="B415" s="114">
        <v>48.4</v>
      </c>
      <c r="C415" s="114" t="s">
        <v>165</v>
      </c>
    </row>
    <row r="416" spans="1:3" x14ac:dyDescent="0.25">
      <c r="A416" s="115">
        <v>41744.304166666698</v>
      </c>
      <c r="B416" s="114">
        <v>4.7</v>
      </c>
      <c r="C416" s="114" t="s">
        <v>164</v>
      </c>
    </row>
    <row r="417" spans="1:3" x14ac:dyDescent="0.25">
      <c r="A417" s="115">
        <v>41744.547916666699</v>
      </c>
      <c r="B417" s="114">
        <v>50.2</v>
      </c>
      <c r="C417" s="114" t="s">
        <v>165</v>
      </c>
    </row>
    <row r="418" spans="1:3" x14ac:dyDescent="0.25">
      <c r="A418" s="115">
        <v>41744.811111111099</v>
      </c>
      <c r="B418" s="114">
        <v>5.3</v>
      </c>
      <c r="C418" s="114" t="s">
        <v>164</v>
      </c>
    </row>
    <row r="419" spans="1:3" x14ac:dyDescent="0.25">
      <c r="A419" s="115">
        <v>41745.059722222199</v>
      </c>
      <c r="B419" s="114">
        <v>49.8</v>
      </c>
      <c r="C419" s="114" t="s">
        <v>165</v>
      </c>
    </row>
    <row r="420" spans="1:3" x14ac:dyDescent="0.25">
      <c r="A420" s="115">
        <v>41745.3305555556</v>
      </c>
      <c r="B420" s="114">
        <v>4</v>
      </c>
      <c r="C420" s="114" t="s">
        <v>164</v>
      </c>
    </row>
    <row r="421" spans="1:3" x14ac:dyDescent="0.25">
      <c r="A421" s="115">
        <v>41745.5715277778</v>
      </c>
      <c r="B421" s="114">
        <v>50.8</v>
      </c>
      <c r="C421" s="114" t="s">
        <v>165</v>
      </c>
    </row>
    <row r="422" spans="1:3" x14ac:dyDescent="0.25">
      <c r="A422" s="115">
        <v>41745.838888888902</v>
      </c>
      <c r="B422" s="114">
        <v>4.7</v>
      </c>
      <c r="C422" s="114" t="s">
        <v>164</v>
      </c>
    </row>
    <row r="423" spans="1:3" x14ac:dyDescent="0.25">
      <c r="A423" s="115">
        <v>41746.082638888904</v>
      </c>
      <c r="B423" s="114">
        <v>50.5</v>
      </c>
      <c r="C423" s="114" t="s">
        <v>165</v>
      </c>
    </row>
    <row r="424" spans="1:3" x14ac:dyDescent="0.25">
      <c r="A424" s="115">
        <v>41746.356249999997</v>
      </c>
      <c r="B424" s="114">
        <v>3.8</v>
      </c>
      <c r="C424" s="114" t="s">
        <v>164</v>
      </c>
    </row>
    <row r="425" spans="1:3" x14ac:dyDescent="0.25">
      <c r="A425" s="115">
        <v>41746.596527777801</v>
      </c>
      <c r="B425" s="114">
        <v>50.6</v>
      </c>
      <c r="C425" s="114" t="s">
        <v>165</v>
      </c>
    </row>
    <row r="426" spans="1:3" x14ac:dyDescent="0.25">
      <c r="A426" s="115">
        <v>41746.866666666698</v>
      </c>
      <c r="B426" s="114">
        <v>4.5</v>
      </c>
      <c r="C426" s="114" t="s">
        <v>164</v>
      </c>
    </row>
    <row r="427" spans="1:3" x14ac:dyDescent="0.25">
      <c r="A427" s="115">
        <v>41747.107638888898</v>
      </c>
      <c r="B427" s="114">
        <v>50.5</v>
      </c>
      <c r="C427" s="114" t="s">
        <v>165</v>
      </c>
    </row>
    <row r="428" spans="1:3" x14ac:dyDescent="0.25">
      <c r="A428" s="115">
        <v>41747.383333333302</v>
      </c>
      <c r="B428" s="114">
        <v>4.2</v>
      </c>
      <c r="C428" s="114" t="s">
        <v>164</v>
      </c>
    </row>
    <row r="429" spans="1:3" x14ac:dyDescent="0.25">
      <c r="A429" s="115">
        <v>41747.622222222199</v>
      </c>
      <c r="B429" s="114">
        <v>49.7</v>
      </c>
      <c r="C429" s="114" t="s">
        <v>165</v>
      </c>
    </row>
    <row r="430" spans="1:3" x14ac:dyDescent="0.25">
      <c r="A430" s="115">
        <v>41747.8972222222</v>
      </c>
      <c r="B430" s="114">
        <v>4.5999999999999996</v>
      </c>
      <c r="C430" s="114" t="s">
        <v>164</v>
      </c>
    </row>
    <row r="431" spans="1:3" x14ac:dyDescent="0.25">
      <c r="A431" s="115">
        <v>41748.135416666701</v>
      </c>
      <c r="B431" s="114">
        <v>50</v>
      </c>
      <c r="C431" s="114" t="s">
        <v>165</v>
      </c>
    </row>
    <row r="432" spans="1:3" x14ac:dyDescent="0.25">
      <c r="A432" s="115">
        <v>41748.413888888899</v>
      </c>
      <c r="B432" s="114">
        <v>5</v>
      </c>
      <c r="C432" s="114" t="s">
        <v>164</v>
      </c>
    </row>
    <row r="433" spans="1:3" x14ac:dyDescent="0.25">
      <c r="A433" s="115">
        <v>41748.65</v>
      </c>
      <c r="B433" s="114">
        <v>48.3</v>
      </c>
      <c r="C433" s="114" t="s">
        <v>165</v>
      </c>
    </row>
    <row r="434" spans="1:3" x14ac:dyDescent="0.25">
      <c r="A434" s="115">
        <v>41748.925000000003</v>
      </c>
      <c r="B434" s="114">
        <v>4.9000000000000004</v>
      </c>
      <c r="C434" s="114" t="s">
        <v>164</v>
      </c>
    </row>
    <row r="435" spans="1:3" x14ac:dyDescent="0.25">
      <c r="A435" s="115">
        <v>41749.1652777778</v>
      </c>
      <c r="B435" s="114">
        <v>48.9</v>
      </c>
      <c r="C435" s="114" t="s">
        <v>165</v>
      </c>
    </row>
    <row r="436" spans="1:3" x14ac:dyDescent="0.25">
      <c r="A436" s="115">
        <v>41749.441666666702</v>
      </c>
      <c r="B436" s="114">
        <v>6</v>
      </c>
      <c r="C436" s="114" t="s">
        <v>164</v>
      </c>
    </row>
    <row r="437" spans="1:3" x14ac:dyDescent="0.25">
      <c r="A437" s="115">
        <v>41749.684722222199</v>
      </c>
      <c r="B437" s="114">
        <v>46.3</v>
      </c>
      <c r="C437" s="114" t="s">
        <v>165</v>
      </c>
    </row>
    <row r="438" spans="1:3" x14ac:dyDescent="0.25">
      <c r="A438" s="115">
        <v>41749.958333333299</v>
      </c>
      <c r="B438" s="114">
        <v>5.4</v>
      </c>
      <c r="C438" s="114" t="s">
        <v>164</v>
      </c>
    </row>
    <row r="439" spans="1:3" x14ac:dyDescent="0.25">
      <c r="A439" s="115">
        <v>41750.199305555601</v>
      </c>
      <c r="B439" s="114">
        <v>47</v>
      </c>
      <c r="C439" s="114" t="s">
        <v>165</v>
      </c>
    </row>
    <row r="440" spans="1:3" x14ac:dyDescent="0.25">
      <c r="A440" s="115">
        <v>41750.475694444402</v>
      </c>
      <c r="B440" s="114">
        <v>7.3</v>
      </c>
      <c r="C440" s="114" t="s">
        <v>164</v>
      </c>
    </row>
    <row r="441" spans="1:3" x14ac:dyDescent="0.25">
      <c r="A441" s="115">
        <v>41750.721527777801</v>
      </c>
      <c r="B441" s="114">
        <v>43.9</v>
      </c>
      <c r="C441" s="114" t="s">
        <v>165</v>
      </c>
    </row>
    <row r="442" spans="1:3" x14ac:dyDescent="0.25">
      <c r="A442" s="115">
        <v>41750.997222222199</v>
      </c>
      <c r="B442" s="114">
        <v>6.3</v>
      </c>
      <c r="C442" s="114" t="s">
        <v>164</v>
      </c>
    </row>
    <row r="443" spans="1:3" x14ac:dyDescent="0.25">
      <c r="A443" s="115">
        <v>41751.247222222199</v>
      </c>
      <c r="B443" s="114">
        <v>44.6</v>
      </c>
      <c r="C443" s="114" t="s">
        <v>165</v>
      </c>
    </row>
    <row r="444" spans="1:3" x14ac:dyDescent="0.25">
      <c r="A444" s="115">
        <v>41751.5131944444</v>
      </c>
      <c r="B444" s="114">
        <v>8.9</v>
      </c>
      <c r="C444" s="114" t="s">
        <v>164</v>
      </c>
    </row>
    <row r="445" spans="1:3" x14ac:dyDescent="0.25">
      <c r="A445" s="115">
        <v>41751.774305555598</v>
      </c>
      <c r="B445" s="114">
        <v>41.7</v>
      </c>
      <c r="C445" s="114" t="s">
        <v>165</v>
      </c>
    </row>
    <row r="446" spans="1:3" x14ac:dyDescent="0.25">
      <c r="A446" s="115">
        <v>41752.040972222203</v>
      </c>
      <c r="B446" s="114">
        <v>7.2</v>
      </c>
      <c r="C446" s="114" t="s">
        <v>164</v>
      </c>
    </row>
    <row r="447" spans="1:3" x14ac:dyDescent="0.25">
      <c r="A447" s="115">
        <v>41752.302777777797</v>
      </c>
      <c r="B447" s="114">
        <v>43.2</v>
      </c>
      <c r="C447" s="114" t="s">
        <v>165</v>
      </c>
    </row>
    <row r="448" spans="1:3" x14ac:dyDescent="0.25">
      <c r="A448" s="115">
        <v>41752.565972222197</v>
      </c>
      <c r="B448" s="114">
        <v>10.3</v>
      </c>
      <c r="C448" s="114" t="s">
        <v>164</v>
      </c>
    </row>
    <row r="449" spans="1:3" x14ac:dyDescent="0.25">
      <c r="A449" s="115">
        <v>41752.8256944444</v>
      </c>
      <c r="B449" s="114">
        <v>40.700000000000003</v>
      </c>
      <c r="C449" s="114" t="s">
        <v>165</v>
      </c>
    </row>
    <row r="450" spans="1:3" x14ac:dyDescent="0.25">
      <c r="A450" s="115">
        <v>41753.097222222197</v>
      </c>
      <c r="B450" s="114">
        <v>7.6</v>
      </c>
      <c r="C450" s="114" t="s">
        <v>164</v>
      </c>
    </row>
    <row r="451" spans="1:3" x14ac:dyDescent="0.25">
      <c r="A451" s="115">
        <v>41753.355555555601</v>
      </c>
      <c r="B451" s="114">
        <v>43.2</v>
      </c>
      <c r="C451" s="114" t="s">
        <v>165</v>
      </c>
    </row>
    <row r="452" spans="1:3" x14ac:dyDescent="0.25">
      <c r="A452" s="115">
        <v>41753.621527777803</v>
      </c>
      <c r="B452" s="114">
        <v>10.7</v>
      </c>
      <c r="C452" s="114" t="s">
        <v>164</v>
      </c>
    </row>
    <row r="453" spans="1:3" x14ac:dyDescent="0.25">
      <c r="A453" s="115">
        <v>41753.879166666702</v>
      </c>
      <c r="B453" s="114">
        <v>41.2</v>
      </c>
      <c r="C453" s="114" t="s">
        <v>165</v>
      </c>
    </row>
    <row r="454" spans="1:3" x14ac:dyDescent="0.25">
      <c r="A454" s="115">
        <v>41754.156944444403</v>
      </c>
      <c r="B454" s="114">
        <v>7.1</v>
      </c>
      <c r="C454" s="114" t="s">
        <v>164</v>
      </c>
    </row>
    <row r="455" spans="1:3" x14ac:dyDescent="0.25">
      <c r="A455" s="115">
        <v>41754.403472222199</v>
      </c>
      <c r="B455" s="114">
        <v>44.5</v>
      </c>
      <c r="C455" s="114" t="s">
        <v>165</v>
      </c>
    </row>
    <row r="456" spans="1:3" x14ac:dyDescent="0.25">
      <c r="A456" s="115">
        <v>41754.677777777797</v>
      </c>
      <c r="B456" s="114">
        <v>9.8000000000000007</v>
      </c>
      <c r="C456" s="114" t="s">
        <v>164</v>
      </c>
    </row>
    <row r="457" spans="1:3" x14ac:dyDescent="0.25">
      <c r="A457" s="115">
        <v>41754.927083333299</v>
      </c>
      <c r="B457" s="114">
        <v>43.2</v>
      </c>
      <c r="C457" s="114" t="s">
        <v>165</v>
      </c>
    </row>
    <row r="458" spans="1:3" x14ac:dyDescent="0.25">
      <c r="A458" s="115">
        <v>41755.204861111102</v>
      </c>
      <c r="B458" s="114">
        <v>5.6</v>
      </c>
      <c r="C458" s="114" t="s">
        <v>164</v>
      </c>
    </row>
    <row r="459" spans="1:3" x14ac:dyDescent="0.25">
      <c r="A459" s="115">
        <v>41755.447916666701</v>
      </c>
      <c r="B459" s="114">
        <v>46.5</v>
      </c>
      <c r="C459" s="114" t="s">
        <v>165</v>
      </c>
    </row>
    <row r="460" spans="1:3" x14ac:dyDescent="0.25">
      <c r="A460" s="115">
        <v>41755.720138888901</v>
      </c>
      <c r="B460" s="114">
        <v>8.4</v>
      </c>
      <c r="C460" s="114" t="s">
        <v>164</v>
      </c>
    </row>
    <row r="461" spans="1:3" x14ac:dyDescent="0.25">
      <c r="A461" s="115">
        <v>41755.963194444397</v>
      </c>
      <c r="B461" s="114">
        <v>45.6</v>
      </c>
      <c r="C461" s="114" t="s">
        <v>165</v>
      </c>
    </row>
    <row r="462" spans="1:3" x14ac:dyDescent="0.25">
      <c r="A462" s="115">
        <v>41756.240277777797</v>
      </c>
      <c r="B462" s="114">
        <v>4.3</v>
      </c>
      <c r="C462" s="114" t="s">
        <v>164</v>
      </c>
    </row>
    <row r="463" spans="1:3" x14ac:dyDescent="0.25">
      <c r="A463" s="115">
        <v>41756.480555555601</v>
      </c>
      <c r="B463" s="114">
        <v>48.2</v>
      </c>
      <c r="C463" s="114" t="s">
        <v>165</v>
      </c>
    </row>
    <row r="464" spans="1:3" x14ac:dyDescent="0.25">
      <c r="A464" s="115">
        <v>41756.75</v>
      </c>
      <c r="B464" s="114">
        <v>7.1</v>
      </c>
      <c r="C464" s="114" t="s">
        <v>164</v>
      </c>
    </row>
    <row r="465" spans="1:3" x14ac:dyDescent="0.25">
      <c r="A465" s="115">
        <v>41756.994444444397</v>
      </c>
      <c r="B465" s="114">
        <v>47.6</v>
      </c>
      <c r="C465" s="114" t="s">
        <v>165</v>
      </c>
    </row>
    <row r="466" spans="1:3" x14ac:dyDescent="0.25">
      <c r="A466" s="115">
        <v>41757.269444444399</v>
      </c>
      <c r="B466" s="114">
        <v>3.5</v>
      </c>
      <c r="C466" s="114" t="s">
        <v>164</v>
      </c>
    </row>
    <row r="467" spans="1:3" x14ac:dyDescent="0.25">
      <c r="A467" s="115">
        <v>41757.511111111096</v>
      </c>
      <c r="B467" s="114">
        <v>49.3</v>
      </c>
      <c r="C467" s="114" t="s">
        <v>165</v>
      </c>
    </row>
    <row r="468" spans="1:3" x14ac:dyDescent="0.25">
      <c r="A468" s="115">
        <v>41757.781944444403</v>
      </c>
      <c r="B468" s="114">
        <v>6</v>
      </c>
      <c r="C468" s="114" t="s">
        <v>164</v>
      </c>
    </row>
    <row r="469" spans="1:3" x14ac:dyDescent="0.25">
      <c r="A469" s="115">
        <v>41758.024305555598</v>
      </c>
      <c r="B469" s="114">
        <v>49.2</v>
      </c>
      <c r="C469" s="114" t="s">
        <v>165</v>
      </c>
    </row>
    <row r="470" spans="1:3" x14ac:dyDescent="0.25">
      <c r="A470" s="115">
        <v>41758.296527777798</v>
      </c>
      <c r="B470" s="114">
        <v>3.2</v>
      </c>
      <c r="C470" s="114" t="s">
        <v>164</v>
      </c>
    </row>
    <row r="471" spans="1:3" x14ac:dyDescent="0.25">
      <c r="A471" s="115">
        <v>41758.540972222203</v>
      </c>
      <c r="B471" s="114">
        <v>49.8</v>
      </c>
      <c r="C471" s="114" t="s">
        <v>165</v>
      </c>
    </row>
    <row r="472" spans="1:3" x14ac:dyDescent="0.25">
      <c r="A472" s="115">
        <v>41758.809722222199</v>
      </c>
      <c r="B472" s="114">
        <v>5</v>
      </c>
      <c r="C472" s="114" t="s">
        <v>164</v>
      </c>
    </row>
    <row r="473" spans="1:3" x14ac:dyDescent="0.25">
      <c r="A473" s="115">
        <v>41759.052777777797</v>
      </c>
      <c r="B473" s="114">
        <v>50.2</v>
      </c>
      <c r="C473" s="114" t="s">
        <v>165</v>
      </c>
    </row>
    <row r="474" spans="1:3" x14ac:dyDescent="0.25">
      <c r="A474" s="115">
        <v>41759.324305555601</v>
      </c>
      <c r="B474" s="114">
        <v>3.4</v>
      </c>
      <c r="C474" s="114" t="s">
        <v>164</v>
      </c>
    </row>
    <row r="475" spans="1:3" x14ac:dyDescent="0.25">
      <c r="A475" s="115">
        <v>41759.569444444402</v>
      </c>
      <c r="B475" s="114">
        <v>49.8</v>
      </c>
      <c r="C475" s="114" t="s">
        <v>165</v>
      </c>
    </row>
    <row r="476" spans="1:3" x14ac:dyDescent="0.25">
      <c r="A476" s="115">
        <v>41759.836805555598</v>
      </c>
      <c r="B476" s="114">
        <v>4.5</v>
      </c>
      <c r="C476" s="114" t="s">
        <v>164</v>
      </c>
    </row>
    <row r="477" spans="1:3" x14ac:dyDescent="0.25">
      <c r="A477" s="115">
        <v>41760.082638888904</v>
      </c>
      <c r="B477" s="114">
        <v>50.6</v>
      </c>
      <c r="C477" s="114" t="s">
        <v>165</v>
      </c>
    </row>
    <row r="478" spans="1:3" x14ac:dyDescent="0.25">
      <c r="A478" s="115">
        <v>41760.3527777778</v>
      </c>
      <c r="B478" s="114">
        <v>4</v>
      </c>
      <c r="C478" s="114" t="s">
        <v>164</v>
      </c>
    </row>
    <row r="479" spans="1:3" x14ac:dyDescent="0.25">
      <c r="A479" s="115">
        <v>41760.598611111098</v>
      </c>
      <c r="B479" s="114">
        <v>49.2</v>
      </c>
      <c r="C479" s="114" t="s">
        <v>165</v>
      </c>
    </row>
    <row r="480" spans="1:3" x14ac:dyDescent="0.25">
      <c r="A480" s="115">
        <v>41760.865277777797</v>
      </c>
      <c r="B480" s="114">
        <v>4.5</v>
      </c>
      <c r="C480" s="114" t="s">
        <v>164</v>
      </c>
    </row>
    <row r="481" spans="1:3" x14ac:dyDescent="0.25">
      <c r="A481" s="115">
        <v>41761.110416666699</v>
      </c>
      <c r="B481" s="114">
        <v>50.2</v>
      </c>
      <c r="C481" s="114" t="s">
        <v>165</v>
      </c>
    </row>
    <row r="482" spans="1:3" x14ac:dyDescent="0.25">
      <c r="A482" s="115">
        <v>41761.379861111098</v>
      </c>
      <c r="B482" s="114">
        <v>5.0999999999999996</v>
      </c>
      <c r="C482" s="114" t="s">
        <v>164</v>
      </c>
    </row>
    <row r="483" spans="1:3" x14ac:dyDescent="0.25">
      <c r="A483" s="115">
        <v>41761.626388888901</v>
      </c>
      <c r="B483" s="114">
        <v>48</v>
      </c>
      <c r="C483" s="114" t="s">
        <v>165</v>
      </c>
    </row>
    <row r="484" spans="1:3" x14ac:dyDescent="0.25">
      <c r="A484" s="115">
        <v>41761.8930555556</v>
      </c>
      <c r="B484" s="114">
        <v>4.9000000000000004</v>
      </c>
      <c r="C484" s="114" t="s">
        <v>164</v>
      </c>
    </row>
    <row r="485" spans="1:3" x14ac:dyDescent="0.25">
      <c r="A485" s="115">
        <v>41762.139583333301</v>
      </c>
      <c r="B485" s="114">
        <v>49</v>
      </c>
      <c r="C485" s="114" t="s">
        <v>165</v>
      </c>
    </row>
    <row r="486" spans="1:3" x14ac:dyDescent="0.25">
      <c r="A486" s="115">
        <v>41762.406944444403</v>
      </c>
      <c r="B486" s="114">
        <v>6.6</v>
      </c>
      <c r="C486" s="114" t="s">
        <v>164</v>
      </c>
    </row>
    <row r="487" spans="1:3" x14ac:dyDescent="0.25">
      <c r="A487" s="115">
        <v>41762.65625</v>
      </c>
      <c r="B487" s="114">
        <v>46.2</v>
      </c>
      <c r="C487" s="114" t="s">
        <v>165</v>
      </c>
    </row>
    <row r="488" spans="1:3" x14ac:dyDescent="0.25">
      <c r="A488" s="115">
        <v>41762.918055555601</v>
      </c>
      <c r="B488" s="114">
        <v>5.8</v>
      </c>
      <c r="C488" s="114" t="s">
        <v>164</v>
      </c>
    </row>
    <row r="489" spans="1:3" x14ac:dyDescent="0.25">
      <c r="A489" s="115">
        <v>41763.167361111096</v>
      </c>
      <c r="B489" s="114">
        <v>47.1</v>
      </c>
      <c r="C489" s="114" t="s">
        <v>165</v>
      </c>
    </row>
    <row r="490" spans="1:3" x14ac:dyDescent="0.25">
      <c r="A490" s="115">
        <v>41763.429166666698</v>
      </c>
      <c r="B490" s="114">
        <v>8.1</v>
      </c>
      <c r="C490" s="114" t="s">
        <v>164</v>
      </c>
    </row>
    <row r="491" spans="1:3" x14ac:dyDescent="0.25">
      <c r="A491" s="115">
        <v>41763.681250000001</v>
      </c>
      <c r="B491" s="114">
        <v>44.3</v>
      </c>
      <c r="C491" s="114" t="s">
        <v>165</v>
      </c>
    </row>
    <row r="492" spans="1:3" x14ac:dyDescent="0.25">
      <c r="A492" s="115">
        <v>41763.943749999999</v>
      </c>
      <c r="B492" s="114">
        <v>7</v>
      </c>
      <c r="C492" s="114" t="s">
        <v>164</v>
      </c>
    </row>
    <row r="493" spans="1:3" x14ac:dyDescent="0.25">
      <c r="A493" s="115">
        <v>41764.195138888899</v>
      </c>
      <c r="B493" s="114">
        <v>44.9</v>
      </c>
      <c r="C493" s="114" t="s">
        <v>165</v>
      </c>
    </row>
    <row r="494" spans="1:3" x14ac:dyDescent="0.25">
      <c r="A494" s="115">
        <v>41764.454861111102</v>
      </c>
      <c r="B494" s="114">
        <v>9.6999999999999993</v>
      </c>
      <c r="C494" s="114" t="s">
        <v>164</v>
      </c>
    </row>
    <row r="495" spans="1:3" x14ac:dyDescent="0.25">
      <c r="A495" s="115">
        <v>41764.712500000001</v>
      </c>
      <c r="B495" s="114">
        <v>42.2</v>
      </c>
      <c r="C495" s="114" t="s">
        <v>165</v>
      </c>
    </row>
    <row r="496" spans="1:3" x14ac:dyDescent="0.25">
      <c r="A496" s="115">
        <v>41764.975694444402</v>
      </c>
      <c r="B496" s="114">
        <v>8.4</v>
      </c>
      <c r="C496" s="114" t="s">
        <v>164</v>
      </c>
    </row>
    <row r="497" spans="1:3" x14ac:dyDescent="0.25">
      <c r="A497" s="115">
        <v>41765.233333333301</v>
      </c>
      <c r="B497" s="114">
        <v>42.5</v>
      </c>
      <c r="C497" s="114" t="s">
        <v>165</v>
      </c>
    </row>
    <row r="498" spans="1:3" x14ac:dyDescent="0.25">
      <c r="A498" s="115">
        <v>41765.4819444444</v>
      </c>
      <c r="B498" s="114">
        <v>11.4</v>
      </c>
      <c r="C498" s="114" t="s">
        <v>164</v>
      </c>
    </row>
    <row r="499" spans="1:3" x14ac:dyDescent="0.25">
      <c r="A499" s="115">
        <v>41765.747222222199</v>
      </c>
      <c r="B499" s="114">
        <v>40.1</v>
      </c>
      <c r="C499" s="114" t="s">
        <v>165</v>
      </c>
    </row>
    <row r="500" spans="1:3" x14ac:dyDescent="0.25">
      <c r="A500" s="115">
        <v>41766.024305555598</v>
      </c>
      <c r="B500" s="114">
        <v>9.6999999999999993</v>
      </c>
      <c r="C500" s="114" t="s">
        <v>164</v>
      </c>
    </row>
    <row r="501" spans="1:3" x14ac:dyDescent="0.25">
      <c r="A501" s="115">
        <v>41766.266666666699</v>
      </c>
      <c r="B501" s="114">
        <v>40.4</v>
      </c>
      <c r="C501" s="114" t="s">
        <v>165</v>
      </c>
    </row>
    <row r="502" spans="1:3" x14ac:dyDescent="0.25">
      <c r="A502" s="115">
        <v>41766.545138888898</v>
      </c>
      <c r="B502" s="114">
        <v>12.6</v>
      </c>
      <c r="C502" s="114" t="s">
        <v>164</v>
      </c>
    </row>
    <row r="503" spans="1:3" x14ac:dyDescent="0.25">
      <c r="A503" s="115">
        <v>41766.788888888899</v>
      </c>
      <c r="B503" s="114">
        <v>38.299999999999997</v>
      </c>
      <c r="C503" s="114" t="s">
        <v>165</v>
      </c>
    </row>
    <row r="504" spans="1:3" x14ac:dyDescent="0.25">
      <c r="A504" s="115">
        <v>41767.077083333301</v>
      </c>
      <c r="B504" s="114">
        <v>10.199999999999999</v>
      </c>
      <c r="C504" s="114" t="s">
        <v>164</v>
      </c>
    </row>
    <row r="505" spans="1:3" x14ac:dyDescent="0.25">
      <c r="A505" s="115">
        <v>41767.315972222197</v>
      </c>
      <c r="B505" s="114">
        <v>39.200000000000003</v>
      </c>
      <c r="C505" s="114" t="s">
        <v>165</v>
      </c>
    </row>
    <row r="506" spans="1:3" x14ac:dyDescent="0.25">
      <c r="A506" s="115">
        <v>41767.597222222197</v>
      </c>
      <c r="B506" s="114">
        <v>12.4</v>
      </c>
      <c r="C506" s="114" t="s">
        <v>164</v>
      </c>
    </row>
    <row r="507" spans="1:3" x14ac:dyDescent="0.25">
      <c r="A507" s="115">
        <v>41767.836805555598</v>
      </c>
      <c r="B507" s="114">
        <v>37.5</v>
      </c>
      <c r="C507" s="114" t="s">
        <v>165</v>
      </c>
    </row>
    <row r="508" spans="1:3" x14ac:dyDescent="0.25">
      <c r="A508" s="115">
        <v>41768.122222222199</v>
      </c>
      <c r="B508" s="114">
        <v>10</v>
      </c>
      <c r="C508" s="114" t="s">
        <v>164</v>
      </c>
    </row>
    <row r="509" spans="1:3" x14ac:dyDescent="0.25">
      <c r="A509" s="115">
        <v>41768.379166666702</v>
      </c>
      <c r="B509" s="114">
        <v>39.799999999999997</v>
      </c>
      <c r="C509" s="114" t="s">
        <v>165</v>
      </c>
    </row>
    <row r="510" spans="1:3" x14ac:dyDescent="0.25">
      <c r="A510" s="115">
        <v>41768.6430555556</v>
      </c>
      <c r="B510" s="114">
        <v>11.5</v>
      </c>
      <c r="C510" s="114" t="s">
        <v>164</v>
      </c>
    </row>
    <row r="511" spans="1:3" x14ac:dyDescent="0.25">
      <c r="A511" s="115">
        <v>41768.9</v>
      </c>
      <c r="B511" s="114">
        <v>38.799999999999997</v>
      </c>
      <c r="C511" s="114" t="s">
        <v>165</v>
      </c>
    </row>
    <row r="512" spans="1:3" x14ac:dyDescent="0.25">
      <c r="A512" s="115">
        <v>41769.155555555597</v>
      </c>
      <c r="B512" s="114">
        <v>9.1999999999999993</v>
      </c>
      <c r="C512" s="114" t="s">
        <v>164</v>
      </c>
    </row>
    <row r="513" spans="1:3" x14ac:dyDescent="0.25">
      <c r="A513" s="115">
        <v>41769.420833333301</v>
      </c>
      <c r="B513" s="114">
        <v>42.1</v>
      </c>
      <c r="C513" s="114" t="s">
        <v>165</v>
      </c>
    </row>
    <row r="514" spans="1:3" x14ac:dyDescent="0.25">
      <c r="A514" s="115">
        <v>41769.6743055556</v>
      </c>
      <c r="B514" s="114">
        <v>10.1</v>
      </c>
      <c r="C514" s="114" t="s">
        <v>164</v>
      </c>
    </row>
    <row r="515" spans="1:3" x14ac:dyDescent="0.25">
      <c r="A515" s="115">
        <v>41769.934027777803</v>
      </c>
      <c r="B515" s="114">
        <v>41.4</v>
      </c>
      <c r="C515" s="114" t="s">
        <v>165</v>
      </c>
    </row>
    <row r="516" spans="1:3" x14ac:dyDescent="0.25">
      <c r="A516" s="115">
        <v>41770.190972222197</v>
      </c>
      <c r="B516" s="114">
        <v>8.1</v>
      </c>
      <c r="C516" s="114" t="s">
        <v>164</v>
      </c>
    </row>
    <row r="517" spans="1:3" x14ac:dyDescent="0.25">
      <c r="A517" s="115">
        <v>41770.451388888898</v>
      </c>
      <c r="B517" s="114">
        <v>44.8</v>
      </c>
      <c r="C517" s="114" t="s">
        <v>165</v>
      </c>
    </row>
    <row r="518" spans="1:3" x14ac:dyDescent="0.25">
      <c r="A518" s="115">
        <v>41770.704166666699</v>
      </c>
      <c r="B518" s="114">
        <v>8.8000000000000007</v>
      </c>
      <c r="C518" s="114" t="s">
        <v>164</v>
      </c>
    </row>
    <row r="519" spans="1:3" x14ac:dyDescent="0.25">
      <c r="A519" s="115">
        <v>41770.963888888902</v>
      </c>
      <c r="B519" s="114">
        <v>44</v>
      </c>
      <c r="C519" s="114" t="s">
        <v>165</v>
      </c>
    </row>
    <row r="520" spans="1:3" x14ac:dyDescent="0.25">
      <c r="A520" s="115">
        <v>41771.2277777778</v>
      </c>
      <c r="B520" s="114">
        <v>6.9</v>
      </c>
      <c r="C520" s="114" t="s">
        <v>164</v>
      </c>
    </row>
    <row r="521" spans="1:3" x14ac:dyDescent="0.25">
      <c r="A521" s="115">
        <v>41771.476388888899</v>
      </c>
      <c r="B521" s="114">
        <v>47</v>
      </c>
      <c r="C521" s="114" t="s">
        <v>165</v>
      </c>
    </row>
    <row r="522" spans="1:3" x14ac:dyDescent="0.25">
      <c r="A522" s="115">
        <v>41771.740277777797</v>
      </c>
      <c r="B522" s="114">
        <v>7.5</v>
      </c>
      <c r="C522" s="114" t="s">
        <v>164</v>
      </c>
    </row>
    <row r="523" spans="1:3" x14ac:dyDescent="0.25">
      <c r="A523" s="115">
        <v>41771.987500000003</v>
      </c>
      <c r="B523" s="114">
        <v>46.3</v>
      </c>
      <c r="C523" s="114" t="s">
        <v>165</v>
      </c>
    </row>
    <row r="524" spans="1:3" x14ac:dyDescent="0.25">
      <c r="A524" s="115">
        <v>41772.253472222197</v>
      </c>
      <c r="B524" s="114">
        <v>5.9</v>
      </c>
      <c r="C524" s="114" t="s">
        <v>164</v>
      </c>
    </row>
    <row r="525" spans="1:3" x14ac:dyDescent="0.25">
      <c r="A525" s="115">
        <v>41772.501388888901</v>
      </c>
      <c r="B525" s="114">
        <v>48.9</v>
      </c>
      <c r="C525" s="114" t="s">
        <v>165</v>
      </c>
    </row>
    <row r="526" spans="1:3" x14ac:dyDescent="0.25">
      <c r="A526" s="115">
        <v>41772.7631944444</v>
      </c>
      <c r="B526" s="114">
        <v>6.2</v>
      </c>
      <c r="C526" s="114" t="s">
        <v>164</v>
      </c>
    </row>
    <row r="527" spans="1:3" x14ac:dyDescent="0.25">
      <c r="A527" s="115">
        <v>41773.0131944444</v>
      </c>
      <c r="B527" s="114">
        <v>48.3</v>
      </c>
      <c r="C527" s="114" t="s">
        <v>165</v>
      </c>
    </row>
    <row r="528" spans="1:3" x14ac:dyDescent="0.25">
      <c r="A528" s="115">
        <v>41773.281944444403</v>
      </c>
      <c r="B528" s="114">
        <v>5</v>
      </c>
      <c r="C528" s="114" t="s">
        <v>164</v>
      </c>
    </row>
    <row r="529" spans="1:3" x14ac:dyDescent="0.25">
      <c r="A529" s="115">
        <v>41773.528472222199</v>
      </c>
      <c r="B529" s="114">
        <v>50.2</v>
      </c>
      <c r="C529" s="114" t="s">
        <v>165</v>
      </c>
    </row>
    <row r="530" spans="1:3" x14ac:dyDescent="0.25">
      <c r="A530" s="115">
        <v>41773.795833333301</v>
      </c>
      <c r="B530" s="114">
        <v>5.0999999999999996</v>
      </c>
      <c r="C530" s="114" t="s">
        <v>164</v>
      </c>
    </row>
    <row r="531" spans="1:3" x14ac:dyDescent="0.25">
      <c r="A531" s="115">
        <v>41774.038888888899</v>
      </c>
      <c r="B531" s="114">
        <v>49.8</v>
      </c>
      <c r="C531" s="114" t="s">
        <v>165</v>
      </c>
    </row>
    <row r="532" spans="1:3" x14ac:dyDescent="0.25">
      <c r="A532" s="115">
        <v>41774.309722222199</v>
      </c>
      <c r="B532" s="114">
        <v>4.4000000000000004</v>
      </c>
      <c r="C532" s="114" t="s">
        <v>164</v>
      </c>
    </row>
    <row r="533" spans="1:3" x14ac:dyDescent="0.25">
      <c r="A533" s="115">
        <v>41774.554861111101</v>
      </c>
      <c r="B533" s="114">
        <v>50.7</v>
      </c>
      <c r="C533" s="114" t="s">
        <v>165</v>
      </c>
    </row>
    <row r="534" spans="1:3" x14ac:dyDescent="0.25">
      <c r="A534" s="115">
        <v>41774.823611111096</v>
      </c>
      <c r="B534" s="114">
        <v>4.3</v>
      </c>
      <c r="C534" s="114" t="s">
        <v>164</v>
      </c>
    </row>
    <row r="535" spans="1:3" x14ac:dyDescent="0.25">
      <c r="A535" s="115">
        <v>41775.066666666702</v>
      </c>
      <c r="B535" s="114">
        <v>50.6</v>
      </c>
      <c r="C535" s="114" t="s">
        <v>165</v>
      </c>
    </row>
    <row r="536" spans="1:3" x14ac:dyDescent="0.25">
      <c r="A536" s="115">
        <v>41775.338888888902</v>
      </c>
      <c r="B536" s="114">
        <v>4.2</v>
      </c>
      <c r="C536" s="114" t="s">
        <v>164</v>
      </c>
    </row>
    <row r="537" spans="1:3" x14ac:dyDescent="0.25">
      <c r="A537" s="115">
        <v>41775.581944444399</v>
      </c>
      <c r="B537" s="114">
        <v>50.5</v>
      </c>
      <c r="C537" s="114" t="s">
        <v>165</v>
      </c>
    </row>
    <row r="538" spans="1:3" x14ac:dyDescent="0.25">
      <c r="A538" s="115">
        <v>41775.855555555601</v>
      </c>
      <c r="B538" s="114">
        <v>3.8</v>
      </c>
      <c r="C538" s="114" t="s">
        <v>164</v>
      </c>
    </row>
    <row r="539" spans="1:3" x14ac:dyDescent="0.25">
      <c r="A539" s="115">
        <v>41776.095138888901</v>
      </c>
      <c r="B539" s="114">
        <v>50.8</v>
      </c>
      <c r="C539" s="114" t="s">
        <v>165</v>
      </c>
    </row>
    <row r="540" spans="1:3" x14ac:dyDescent="0.25">
      <c r="A540" s="115">
        <v>41776.369444444397</v>
      </c>
      <c r="B540" s="114">
        <v>4.5999999999999996</v>
      </c>
      <c r="C540" s="114" t="s">
        <v>164</v>
      </c>
    </row>
    <row r="541" spans="1:3" x14ac:dyDescent="0.25">
      <c r="A541" s="115">
        <v>41776.611111111102</v>
      </c>
      <c r="B541" s="114">
        <v>49.5</v>
      </c>
      <c r="C541" s="114" t="s">
        <v>165</v>
      </c>
    </row>
    <row r="542" spans="1:3" x14ac:dyDescent="0.25">
      <c r="A542" s="115">
        <v>41776.885416666701</v>
      </c>
      <c r="B542" s="114">
        <v>3.7</v>
      </c>
      <c r="C542" s="114" t="s">
        <v>164</v>
      </c>
    </row>
    <row r="543" spans="1:3" x14ac:dyDescent="0.25">
      <c r="A543" s="115">
        <v>41777.125</v>
      </c>
      <c r="B543" s="114">
        <v>50.3</v>
      </c>
      <c r="C543" s="114" t="s">
        <v>165</v>
      </c>
    </row>
    <row r="544" spans="1:3" x14ac:dyDescent="0.25">
      <c r="A544" s="115">
        <v>41777.399305555598</v>
      </c>
      <c r="B544" s="114">
        <v>5.2</v>
      </c>
      <c r="C544" s="114" t="s">
        <v>164</v>
      </c>
    </row>
    <row r="545" spans="1:3" x14ac:dyDescent="0.25">
      <c r="A545" s="115">
        <v>41777.6430555556</v>
      </c>
      <c r="B545" s="114">
        <v>48.1</v>
      </c>
      <c r="C545" s="114" t="s">
        <v>165</v>
      </c>
    </row>
    <row r="546" spans="1:3" x14ac:dyDescent="0.25">
      <c r="A546" s="115">
        <v>41777.917361111096</v>
      </c>
      <c r="B546" s="114">
        <v>3.7</v>
      </c>
      <c r="C546" s="114" t="s">
        <v>164</v>
      </c>
    </row>
    <row r="547" spans="1:3" x14ac:dyDescent="0.25">
      <c r="A547" s="115">
        <v>41778.156944444403</v>
      </c>
      <c r="B547" s="114">
        <v>49.1</v>
      </c>
      <c r="C547" s="114" t="s">
        <v>165</v>
      </c>
    </row>
    <row r="548" spans="1:3" x14ac:dyDescent="0.25">
      <c r="A548" s="115">
        <v>41778.431944444397</v>
      </c>
      <c r="B548" s="114">
        <v>6.2</v>
      </c>
      <c r="C548" s="114" t="s">
        <v>164</v>
      </c>
    </row>
    <row r="549" spans="1:3" x14ac:dyDescent="0.25">
      <c r="A549" s="115">
        <v>41778.677777777797</v>
      </c>
      <c r="B549" s="114">
        <v>46.3</v>
      </c>
      <c r="C549" s="114" t="s">
        <v>165</v>
      </c>
    </row>
    <row r="550" spans="1:3" x14ac:dyDescent="0.25">
      <c r="A550" s="115">
        <v>41778.9555555556</v>
      </c>
      <c r="B550" s="114">
        <v>4</v>
      </c>
      <c r="C550" s="114" t="s">
        <v>164</v>
      </c>
    </row>
    <row r="551" spans="1:3" x14ac:dyDescent="0.25">
      <c r="A551" s="115">
        <v>41779.195138888899</v>
      </c>
      <c r="B551" s="114">
        <v>47.6</v>
      </c>
      <c r="C551" s="114" t="s">
        <v>165</v>
      </c>
    </row>
    <row r="552" spans="1:3" x14ac:dyDescent="0.25">
      <c r="A552" s="115">
        <v>41779.464583333298</v>
      </c>
      <c r="B552" s="114">
        <v>7.4</v>
      </c>
      <c r="C552" s="114" t="s">
        <v>164</v>
      </c>
    </row>
    <row r="553" spans="1:3" x14ac:dyDescent="0.25">
      <c r="A553" s="115">
        <v>41779.719444444403</v>
      </c>
      <c r="B553" s="114">
        <v>44.6</v>
      </c>
      <c r="C553" s="114" t="s">
        <v>165</v>
      </c>
    </row>
    <row r="554" spans="1:3" x14ac:dyDescent="0.25">
      <c r="A554" s="115">
        <v>41779.993055555598</v>
      </c>
      <c r="B554" s="114">
        <v>4.5</v>
      </c>
      <c r="C554" s="114" t="s">
        <v>164</v>
      </c>
    </row>
    <row r="555" spans="1:3" x14ac:dyDescent="0.25">
      <c r="A555" s="115">
        <v>41780.243055555598</v>
      </c>
      <c r="B555" s="114">
        <v>46</v>
      </c>
      <c r="C555" s="114" t="s">
        <v>165</v>
      </c>
    </row>
    <row r="556" spans="1:3" x14ac:dyDescent="0.25">
      <c r="A556" s="115">
        <v>41780.503472222197</v>
      </c>
      <c r="B556" s="114">
        <v>8.6999999999999993</v>
      </c>
      <c r="C556" s="114" t="s">
        <v>164</v>
      </c>
    </row>
    <row r="557" spans="1:3" x14ac:dyDescent="0.25">
      <c r="A557" s="115">
        <v>41780.765277777798</v>
      </c>
      <c r="B557" s="114">
        <v>43.3</v>
      </c>
      <c r="C557" s="114" t="s">
        <v>165</v>
      </c>
    </row>
    <row r="558" spans="1:3" x14ac:dyDescent="0.25">
      <c r="A558" s="115">
        <v>41781.034027777801</v>
      </c>
      <c r="B558" s="114">
        <v>5.2</v>
      </c>
      <c r="C558" s="114" t="s">
        <v>164</v>
      </c>
    </row>
    <row r="559" spans="1:3" x14ac:dyDescent="0.25">
      <c r="A559" s="115">
        <v>41781.290972222203</v>
      </c>
      <c r="B559" s="114">
        <v>45</v>
      </c>
      <c r="C559" s="114" t="s">
        <v>165</v>
      </c>
    </row>
    <row r="560" spans="1:3" x14ac:dyDescent="0.25">
      <c r="A560" s="115">
        <v>41781.5493055556</v>
      </c>
      <c r="B560" s="114">
        <v>9.6999999999999993</v>
      </c>
      <c r="C560" s="114" t="s">
        <v>164</v>
      </c>
    </row>
    <row r="561" spans="1:3" x14ac:dyDescent="0.25">
      <c r="A561" s="115">
        <v>41781.811805555597</v>
      </c>
      <c r="B561" s="114">
        <v>42.5</v>
      </c>
      <c r="C561" s="114" t="s">
        <v>165</v>
      </c>
    </row>
    <row r="562" spans="1:3" x14ac:dyDescent="0.25">
      <c r="A562" s="115">
        <v>41782.083333333299</v>
      </c>
      <c r="B562" s="114">
        <v>5.9</v>
      </c>
      <c r="C562" s="114" t="s">
        <v>164</v>
      </c>
    </row>
    <row r="563" spans="1:3" x14ac:dyDescent="0.25">
      <c r="A563" s="115">
        <v>41782.336805555598</v>
      </c>
      <c r="B563" s="114">
        <v>44.5</v>
      </c>
      <c r="C563" s="114" t="s">
        <v>165</v>
      </c>
    </row>
    <row r="564" spans="1:3" x14ac:dyDescent="0.25">
      <c r="A564" s="115">
        <v>41782.599305555603</v>
      </c>
      <c r="B564" s="114">
        <v>10.3</v>
      </c>
      <c r="C564" s="114" t="s">
        <v>164</v>
      </c>
    </row>
    <row r="565" spans="1:3" x14ac:dyDescent="0.25">
      <c r="A565" s="115">
        <v>41782.860416666699</v>
      </c>
      <c r="B565" s="114">
        <v>42.4</v>
      </c>
      <c r="C565" s="114" t="s">
        <v>165</v>
      </c>
    </row>
    <row r="566" spans="1:3" x14ac:dyDescent="0.25">
      <c r="A566" s="115">
        <v>41783.138888888898</v>
      </c>
      <c r="B566" s="114">
        <v>6.2</v>
      </c>
      <c r="C566" s="114" t="s">
        <v>164</v>
      </c>
    </row>
    <row r="567" spans="1:3" x14ac:dyDescent="0.25">
      <c r="A567" s="115">
        <v>41783.3881944444</v>
      </c>
      <c r="B567" s="114">
        <v>44.9</v>
      </c>
      <c r="C567" s="114" t="s">
        <v>165</v>
      </c>
    </row>
    <row r="568" spans="1:3" x14ac:dyDescent="0.25">
      <c r="A568" s="115">
        <v>41783.663888888899</v>
      </c>
      <c r="B568" s="114">
        <v>9.9</v>
      </c>
      <c r="C568" s="114" t="s">
        <v>164</v>
      </c>
    </row>
    <row r="569" spans="1:3" x14ac:dyDescent="0.25">
      <c r="A569" s="115">
        <v>41783.908333333296</v>
      </c>
      <c r="B569" s="114">
        <v>43.5</v>
      </c>
      <c r="C569" s="114" t="s">
        <v>165</v>
      </c>
    </row>
    <row r="570" spans="1:3" x14ac:dyDescent="0.25">
      <c r="A570" s="115">
        <v>41784.1875</v>
      </c>
      <c r="B570" s="114">
        <v>5.7</v>
      </c>
      <c r="C570" s="114" t="s">
        <v>164</v>
      </c>
    </row>
    <row r="571" spans="1:3" x14ac:dyDescent="0.25">
      <c r="A571" s="115">
        <v>41784.431250000001</v>
      </c>
      <c r="B571" s="114">
        <v>46</v>
      </c>
      <c r="C571" s="114" t="s">
        <v>165</v>
      </c>
    </row>
    <row r="572" spans="1:3" x14ac:dyDescent="0.25">
      <c r="A572" s="115">
        <v>41784.7055555556</v>
      </c>
      <c r="B572" s="114">
        <v>8.8000000000000007</v>
      </c>
      <c r="C572" s="114" t="s">
        <v>164</v>
      </c>
    </row>
    <row r="573" spans="1:3" x14ac:dyDescent="0.25">
      <c r="A573" s="115">
        <v>41784.947916666701</v>
      </c>
      <c r="B573" s="114">
        <v>45.1</v>
      </c>
      <c r="C573" s="114" t="s">
        <v>165</v>
      </c>
    </row>
    <row r="574" spans="1:3" x14ac:dyDescent="0.25">
      <c r="A574" s="115">
        <v>41785.223611111098</v>
      </c>
      <c r="B574" s="114">
        <v>5.0999999999999996</v>
      </c>
      <c r="C574" s="114" t="s">
        <v>164</v>
      </c>
    </row>
    <row r="575" spans="1:3" x14ac:dyDescent="0.25">
      <c r="A575" s="115">
        <v>41785.46875</v>
      </c>
      <c r="B575" s="114">
        <v>47.1</v>
      </c>
      <c r="C575" s="114" t="s">
        <v>165</v>
      </c>
    </row>
    <row r="576" spans="1:3" x14ac:dyDescent="0.25">
      <c r="A576" s="115">
        <v>41785.740277777797</v>
      </c>
      <c r="B576" s="114">
        <v>7.6</v>
      </c>
      <c r="C576" s="114" t="s">
        <v>164</v>
      </c>
    </row>
    <row r="577" spans="1:3" x14ac:dyDescent="0.25">
      <c r="A577" s="115">
        <v>41785.983333333301</v>
      </c>
      <c r="B577" s="114">
        <v>46.6</v>
      </c>
      <c r="C577" s="114" t="s">
        <v>165</v>
      </c>
    </row>
    <row r="578" spans="1:3" x14ac:dyDescent="0.25">
      <c r="A578" s="115">
        <v>41786.255555555603</v>
      </c>
      <c r="B578" s="114">
        <v>4.9000000000000004</v>
      </c>
      <c r="C578" s="114" t="s">
        <v>164</v>
      </c>
    </row>
    <row r="579" spans="1:3" x14ac:dyDescent="0.25">
      <c r="A579" s="115">
        <v>41786.500694444403</v>
      </c>
      <c r="B579" s="114">
        <v>47.9</v>
      </c>
      <c r="C579" s="114" t="s">
        <v>165</v>
      </c>
    </row>
    <row r="580" spans="1:3" x14ac:dyDescent="0.25">
      <c r="A580" s="115">
        <v>41786.767361111102</v>
      </c>
      <c r="B580" s="114">
        <v>6.5</v>
      </c>
      <c r="C580" s="114" t="s">
        <v>164</v>
      </c>
    </row>
    <row r="581" spans="1:3" x14ac:dyDescent="0.25">
      <c r="A581" s="115">
        <v>41787.011805555601</v>
      </c>
      <c r="B581" s="114">
        <v>47.9</v>
      </c>
      <c r="C581" s="114" t="s">
        <v>165</v>
      </c>
    </row>
    <row r="582" spans="1:3" x14ac:dyDescent="0.25">
      <c r="A582" s="115">
        <v>41787.283333333296</v>
      </c>
      <c r="B582" s="114">
        <v>5</v>
      </c>
      <c r="C582" s="114" t="s">
        <v>164</v>
      </c>
    </row>
    <row r="583" spans="1:3" x14ac:dyDescent="0.25">
      <c r="A583" s="115">
        <v>41787.531944444403</v>
      </c>
      <c r="B583" s="114">
        <v>48.2</v>
      </c>
      <c r="C583" s="114" t="s">
        <v>165</v>
      </c>
    </row>
    <row r="584" spans="1:3" x14ac:dyDescent="0.25">
      <c r="A584" s="115">
        <v>41787.795138888898</v>
      </c>
      <c r="B584" s="114">
        <v>5.6</v>
      </c>
      <c r="C584" s="114" t="s">
        <v>164</v>
      </c>
    </row>
    <row r="585" spans="1:3" x14ac:dyDescent="0.25">
      <c r="A585" s="115">
        <v>41788.043055555601</v>
      </c>
      <c r="B585" s="114">
        <v>48.8</v>
      </c>
      <c r="C585" s="114" t="s">
        <v>165</v>
      </c>
    </row>
    <row r="586" spans="1:3" x14ac:dyDescent="0.25">
      <c r="A586" s="115">
        <v>41788.309027777803</v>
      </c>
      <c r="B586" s="114">
        <v>5.2</v>
      </c>
      <c r="C586" s="114" t="s">
        <v>164</v>
      </c>
    </row>
    <row r="587" spans="1:3" x14ac:dyDescent="0.25">
      <c r="A587" s="115">
        <v>41788.560416666704</v>
      </c>
      <c r="B587" s="114">
        <v>48.4</v>
      </c>
      <c r="C587" s="114" t="s">
        <v>165</v>
      </c>
    </row>
    <row r="588" spans="1:3" x14ac:dyDescent="0.25">
      <c r="A588" s="115">
        <v>41788.822916666701</v>
      </c>
      <c r="B588" s="114">
        <v>4.9000000000000004</v>
      </c>
      <c r="C588" s="114" t="s">
        <v>164</v>
      </c>
    </row>
    <row r="589" spans="1:3" x14ac:dyDescent="0.25">
      <c r="A589" s="115">
        <v>41789.073611111096</v>
      </c>
      <c r="B589" s="114">
        <v>49.2</v>
      </c>
      <c r="C589" s="114" t="s">
        <v>165</v>
      </c>
    </row>
    <row r="590" spans="1:3" x14ac:dyDescent="0.25">
      <c r="A590" s="115">
        <v>41789.336805555598</v>
      </c>
      <c r="B590" s="114">
        <v>5.8</v>
      </c>
      <c r="C590" s="114" t="s">
        <v>164</v>
      </c>
    </row>
    <row r="591" spans="1:3" x14ac:dyDescent="0.25">
      <c r="A591" s="115">
        <v>41789.588194444397</v>
      </c>
      <c r="B591" s="114">
        <v>48.2</v>
      </c>
      <c r="C591" s="114" t="s">
        <v>165</v>
      </c>
    </row>
    <row r="592" spans="1:3" x14ac:dyDescent="0.25">
      <c r="A592" s="115">
        <v>41789.8527777778</v>
      </c>
      <c r="B592" s="114">
        <v>4.5999999999999996</v>
      </c>
      <c r="C592" s="114" t="s">
        <v>164</v>
      </c>
    </row>
    <row r="593" spans="1:3" x14ac:dyDescent="0.25">
      <c r="A593" s="115">
        <v>41790.098611111098</v>
      </c>
      <c r="B593" s="114">
        <v>49.2</v>
      </c>
      <c r="C593" s="114" t="s">
        <v>165</v>
      </c>
    </row>
    <row r="594" spans="1:3" x14ac:dyDescent="0.25">
      <c r="A594" s="115">
        <v>41790.362500000003</v>
      </c>
      <c r="B594" s="114">
        <v>6.5</v>
      </c>
      <c r="C594" s="114" t="s">
        <v>164</v>
      </c>
    </row>
    <row r="595" spans="1:3" x14ac:dyDescent="0.25">
      <c r="A595" s="115">
        <v>41790.615277777797</v>
      </c>
      <c r="B595" s="114">
        <v>47.5</v>
      </c>
      <c r="C595" s="114" t="s">
        <v>165</v>
      </c>
    </row>
    <row r="596" spans="1:3" x14ac:dyDescent="0.25">
      <c r="A596" s="115">
        <v>41790.880555555603</v>
      </c>
      <c r="B596" s="114">
        <v>4.8</v>
      </c>
      <c r="C596" s="114" t="s">
        <v>164</v>
      </c>
    </row>
    <row r="597" spans="1:3" x14ac:dyDescent="0.25">
      <c r="A597" s="115">
        <v>41791.126388888901</v>
      </c>
      <c r="B597" s="114">
        <v>48.5</v>
      </c>
      <c r="C597" s="114" t="s">
        <v>165</v>
      </c>
    </row>
    <row r="598" spans="1:3" x14ac:dyDescent="0.25">
      <c r="A598" s="115">
        <v>41791.387499999997</v>
      </c>
      <c r="B598" s="114">
        <v>7.5</v>
      </c>
      <c r="C598" s="114" t="s">
        <v>164</v>
      </c>
    </row>
    <row r="599" spans="1:3" x14ac:dyDescent="0.25">
      <c r="A599" s="115">
        <v>41791.640277777798</v>
      </c>
      <c r="B599" s="114">
        <v>46.5</v>
      </c>
      <c r="C599" s="114" t="s">
        <v>165</v>
      </c>
    </row>
    <row r="600" spans="1:3" x14ac:dyDescent="0.25">
      <c r="A600" s="115">
        <v>41791.90625</v>
      </c>
      <c r="B600" s="114">
        <v>5.5</v>
      </c>
      <c r="C600" s="114" t="s">
        <v>164</v>
      </c>
    </row>
    <row r="601" spans="1:3" x14ac:dyDescent="0.25">
      <c r="A601" s="115">
        <v>41792.153472222199</v>
      </c>
      <c r="B601" s="114">
        <v>47.2</v>
      </c>
      <c r="C601" s="114" t="s">
        <v>165</v>
      </c>
    </row>
    <row r="602" spans="1:3" x14ac:dyDescent="0.25">
      <c r="A602" s="115">
        <v>41792.414583333302</v>
      </c>
      <c r="B602" s="114">
        <v>8.6999999999999993</v>
      </c>
      <c r="C602" s="114" t="s">
        <v>164</v>
      </c>
    </row>
    <row r="603" spans="1:3" x14ac:dyDescent="0.25">
      <c r="A603" s="115">
        <v>41792.665972222203</v>
      </c>
      <c r="B603" s="114">
        <v>45.1</v>
      </c>
      <c r="C603" s="114" t="s">
        <v>165</v>
      </c>
    </row>
    <row r="604" spans="1:3" x14ac:dyDescent="0.25">
      <c r="A604" s="115">
        <v>41792.934722222199</v>
      </c>
      <c r="B604" s="114">
        <v>6.5</v>
      </c>
      <c r="C604" s="114" t="s">
        <v>164</v>
      </c>
    </row>
    <row r="605" spans="1:3" x14ac:dyDescent="0.25">
      <c r="A605" s="115">
        <v>41793.181250000001</v>
      </c>
      <c r="B605" s="114">
        <v>45.6</v>
      </c>
      <c r="C605" s="114" t="s">
        <v>165</v>
      </c>
    </row>
    <row r="606" spans="1:3" x14ac:dyDescent="0.25">
      <c r="A606" s="115">
        <v>41793.4375</v>
      </c>
      <c r="B606" s="114">
        <v>9.6999999999999993</v>
      </c>
      <c r="C606" s="114" t="s">
        <v>164</v>
      </c>
    </row>
    <row r="607" spans="1:3" x14ac:dyDescent="0.25">
      <c r="A607" s="115">
        <v>41793.694444444402</v>
      </c>
      <c r="B607" s="114">
        <v>43.6</v>
      </c>
      <c r="C607" s="114" t="s">
        <v>165</v>
      </c>
    </row>
    <row r="608" spans="1:3" x14ac:dyDescent="0.25">
      <c r="A608" s="115">
        <v>41793.962500000001</v>
      </c>
      <c r="B608" s="114">
        <v>7.5</v>
      </c>
      <c r="C608" s="114" t="s">
        <v>164</v>
      </c>
    </row>
    <row r="609" spans="1:3" x14ac:dyDescent="0.25">
      <c r="A609" s="115">
        <v>41794.211805555598</v>
      </c>
      <c r="B609" s="114">
        <v>43.9</v>
      </c>
      <c r="C609" s="114" t="s">
        <v>165</v>
      </c>
    </row>
    <row r="610" spans="1:3" x14ac:dyDescent="0.25">
      <c r="A610" s="115">
        <v>41794.460416666698</v>
      </c>
      <c r="B610" s="114">
        <v>10.8</v>
      </c>
      <c r="C610" s="114" t="s">
        <v>164</v>
      </c>
    </row>
    <row r="611" spans="1:3" x14ac:dyDescent="0.25">
      <c r="A611" s="115">
        <v>41794.726388888899</v>
      </c>
      <c r="B611" s="114">
        <v>42.1</v>
      </c>
      <c r="C611" s="114" t="s">
        <v>165</v>
      </c>
    </row>
    <row r="612" spans="1:3" x14ac:dyDescent="0.25">
      <c r="A612" s="115">
        <v>41794.989583333299</v>
      </c>
      <c r="B612" s="114">
        <v>8.5</v>
      </c>
      <c r="C612" s="114" t="s">
        <v>164</v>
      </c>
    </row>
    <row r="613" spans="1:3" x14ac:dyDescent="0.25">
      <c r="A613" s="115">
        <v>41795.247222222199</v>
      </c>
      <c r="B613" s="114">
        <v>42.4</v>
      </c>
      <c r="C613" s="114" t="s">
        <v>165</v>
      </c>
    </row>
    <row r="614" spans="1:3" x14ac:dyDescent="0.25">
      <c r="A614" s="115">
        <v>41795.496527777803</v>
      </c>
      <c r="B614" s="114">
        <v>11.7</v>
      </c>
      <c r="C614" s="114" t="s">
        <v>164</v>
      </c>
    </row>
    <row r="615" spans="1:3" x14ac:dyDescent="0.25">
      <c r="A615" s="115">
        <v>41795.761805555601</v>
      </c>
      <c r="B615" s="114">
        <v>40.700000000000003</v>
      </c>
      <c r="C615" s="114" t="s">
        <v>165</v>
      </c>
    </row>
    <row r="616" spans="1:3" x14ac:dyDescent="0.25">
      <c r="A616" s="115">
        <v>41796.038888888899</v>
      </c>
      <c r="B616" s="114">
        <v>9.3000000000000007</v>
      </c>
      <c r="C616" s="114" t="s">
        <v>164</v>
      </c>
    </row>
    <row r="617" spans="1:3" x14ac:dyDescent="0.25">
      <c r="A617" s="115">
        <v>41796.284722222197</v>
      </c>
      <c r="B617" s="114">
        <v>41.5</v>
      </c>
      <c r="C617" s="114" t="s">
        <v>165</v>
      </c>
    </row>
    <row r="618" spans="1:3" x14ac:dyDescent="0.25">
      <c r="A618" s="115">
        <v>41796.545138888898</v>
      </c>
      <c r="B618" s="114">
        <v>12.3</v>
      </c>
      <c r="C618" s="114" t="s">
        <v>164</v>
      </c>
    </row>
    <row r="619" spans="1:3" x14ac:dyDescent="0.25">
      <c r="A619" s="115">
        <v>41796.800000000003</v>
      </c>
      <c r="B619" s="114">
        <v>39.9</v>
      </c>
      <c r="C619" s="114" t="s">
        <v>165</v>
      </c>
    </row>
    <row r="620" spans="1:3" x14ac:dyDescent="0.25">
      <c r="A620" s="115">
        <v>41797.0805555556</v>
      </c>
      <c r="B620" s="114">
        <v>9.5</v>
      </c>
      <c r="C620" s="114" t="s">
        <v>164</v>
      </c>
    </row>
    <row r="621" spans="1:3" x14ac:dyDescent="0.25">
      <c r="A621" s="115">
        <v>41797.327777777798</v>
      </c>
      <c r="B621" s="114">
        <v>41.4</v>
      </c>
      <c r="C621" s="114" t="s">
        <v>165</v>
      </c>
    </row>
    <row r="622" spans="1:3" x14ac:dyDescent="0.25">
      <c r="A622" s="115">
        <v>41797.608333333301</v>
      </c>
      <c r="B622" s="114">
        <v>11.8</v>
      </c>
      <c r="C622" s="114" t="s">
        <v>164</v>
      </c>
    </row>
    <row r="623" spans="1:3" x14ac:dyDescent="0.25">
      <c r="A623" s="115">
        <v>41797.847222222197</v>
      </c>
      <c r="B623" s="114">
        <v>40</v>
      </c>
      <c r="C623" s="114" t="s">
        <v>165</v>
      </c>
    </row>
    <row r="624" spans="1:3" x14ac:dyDescent="0.25">
      <c r="A624" s="115">
        <v>41798.122222222199</v>
      </c>
      <c r="B624" s="114">
        <v>9.1999999999999993</v>
      </c>
      <c r="C624" s="114" t="s">
        <v>164</v>
      </c>
    </row>
    <row r="625" spans="1:3" x14ac:dyDescent="0.25">
      <c r="A625" s="115">
        <v>41798.375</v>
      </c>
      <c r="B625" s="114">
        <v>42.4</v>
      </c>
      <c r="C625" s="114" t="s">
        <v>165</v>
      </c>
    </row>
    <row r="626" spans="1:3" x14ac:dyDescent="0.25">
      <c r="A626" s="115">
        <v>41798.642361111102</v>
      </c>
      <c r="B626" s="114">
        <v>10.7</v>
      </c>
      <c r="C626" s="114" t="s">
        <v>164</v>
      </c>
    </row>
    <row r="627" spans="1:3" x14ac:dyDescent="0.25">
      <c r="A627" s="115">
        <v>41798.892361111102</v>
      </c>
      <c r="B627" s="114">
        <v>41.4</v>
      </c>
      <c r="C627" s="114" t="s">
        <v>165</v>
      </c>
    </row>
    <row r="628" spans="1:3" x14ac:dyDescent="0.25">
      <c r="A628" s="115">
        <v>41799.15625</v>
      </c>
      <c r="B628" s="114">
        <v>8.4</v>
      </c>
      <c r="C628" s="114" t="s">
        <v>164</v>
      </c>
    </row>
    <row r="629" spans="1:3" x14ac:dyDescent="0.25">
      <c r="A629" s="115">
        <v>41799.416666666701</v>
      </c>
      <c r="B629" s="114">
        <v>44.4</v>
      </c>
      <c r="C629" s="114" t="s">
        <v>165</v>
      </c>
    </row>
    <row r="630" spans="1:3" x14ac:dyDescent="0.25">
      <c r="A630" s="115">
        <v>41799.677777777797</v>
      </c>
      <c r="B630" s="114">
        <v>9.4</v>
      </c>
      <c r="C630" s="114" t="s">
        <v>164</v>
      </c>
    </row>
    <row r="631" spans="1:3" x14ac:dyDescent="0.25">
      <c r="A631" s="115">
        <v>41799.929861111101</v>
      </c>
      <c r="B631" s="114">
        <v>43.6</v>
      </c>
      <c r="C631" s="114" t="s">
        <v>165</v>
      </c>
    </row>
    <row r="632" spans="1:3" x14ac:dyDescent="0.25">
      <c r="A632" s="115">
        <v>41800.194444444402</v>
      </c>
      <c r="B632" s="114">
        <v>7.4</v>
      </c>
      <c r="C632" s="114" t="s">
        <v>164</v>
      </c>
    </row>
    <row r="633" spans="1:3" x14ac:dyDescent="0.25">
      <c r="A633" s="115">
        <v>41800.449999999997</v>
      </c>
      <c r="B633" s="114">
        <v>46.6</v>
      </c>
      <c r="C633" s="114" t="s">
        <v>165</v>
      </c>
    </row>
    <row r="634" spans="1:3" x14ac:dyDescent="0.25">
      <c r="A634" s="115">
        <v>41800.711805555598</v>
      </c>
      <c r="B634" s="114">
        <v>7.9</v>
      </c>
      <c r="C634" s="114" t="s">
        <v>164</v>
      </c>
    </row>
    <row r="635" spans="1:3" x14ac:dyDescent="0.25">
      <c r="A635" s="115">
        <v>41800.963194444397</v>
      </c>
      <c r="B635" s="114">
        <v>46</v>
      </c>
      <c r="C635" s="114" t="s">
        <v>165</v>
      </c>
    </row>
    <row r="636" spans="1:3" x14ac:dyDescent="0.25">
      <c r="A636" s="115">
        <v>41801.225694444402</v>
      </c>
      <c r="B636" s="114">
        <v>6.4</v>
      </c>
      <c r="C636" s="114" t="s">
        <v>164</v>
      </c>
    </row>
    <row r="637" spans="1:3" x14ac:dyDescent="0.25">
      <c r="A637" s="115">
        <v>41801.483333333301</v>
      </c>
      <c r="B637" s="114">
        <v>48.4</v>
      </c>
      <c r="C637" s="114" t="s">
        <v>165</v>
      </c>
    </row>
    <row r="638" spans="1:3" x14ac:dyDescent="0.25">
      <c r="A638" s="115">
        <v>41801.747222222199</v>
      </c>
      <c r="B638" s="114">
        <v>6.5</v>
      </c>
      <c r="C638" s="114" t="s">
        <v>164</v>
      </c>
    </row>
    <row r="639" spans="1:3" x14ac:dyDescent="0.25">
      <c r="A639" s="115">
        <v>41801.995138888902</v>
      </c>
      <c r="B639" s="114">
        <v>48.1</v>
      </c>
      <c r="C639" s="114" t="s">
        <v>165</v>
      </c>
    </row>
    <row r="640" spans="1:3" x14ac:dyDescent="0.25">
      <c r="A640" s="115">
        <v>41802.262499999997</v>
      </c>
      <c r="B640" s="114">
        <v>5.5</v>
      </c>
      <c r="C640" s="114" t="s">
        <v>164</v>
      </c>
    </row>
    <row r="641" spans="1:3" x14ac:dyDescent="0.25">
      <c r="A641" s="115">
        <v>41802.511805555601</v>
      </c>
      <c r="B641" s="114">
        <v>49.7</v>
      </c>
      <c r="C641" s="114" t="s">
        <v>165</v>
      </c>
    </row>
    <row r="642" spans="1:3" x14ac:dyDescent="0.25">
      <c r="A642" s="115">
        <v>41802.777777777803</v>
      </c>
      <c r="B642" s="114">
        <v>5.2</v>
      </c>
      <c r="C642" s="114" t="s">
        <v>164</v>
      </c>
    </row>
    <row r="643" spans="1:3" x14ac:dyDescent="0.25">
      <c r="A643" s="115">
        <v>41803.025000000001</v>
      </c>
      <c r="B643" s="114">
        <v>49.7</v>
      </c>
      <c r="C643" s="114" t="s">
        <v>165</v>
      </c>
    </row>
    <row r="644" spans="1:3" x14ac:dyDescent="0.25">
      <c r="A644" s="115">
        <v>41803.293055555601</v>
      </c>
      <c r="B644" s="114">
        <v>5</v>
      </c>
      <c r="C644" s="114" t="s">
        <v>164</v>
      </c>
    </row>
    <row r="645" spans="1:3" x14ac:dyDescent="0.25">
      <c r="A645" s="115">
        <v>41803.540972222203</v>
      </c>
      <c r="B645" s="114">
        <v>50.3</v>
      </c>
      <c r="C645" s="114" t="s">
        <v>165</v>
      </c>
    </row>
    <row r="646" spans="1:3" x14ac:dyDescent="0.25">
      <c r="A646" s="115">
        <v>41803.811111111099</v>
      </c>
      <c r="B646" s="114">
        <v>4.0999999999999996</v>
      </c>
      <c r="C646" s="114" t="s">
        <v>164</v>
      </c>
    </row>
    <row r="647" spans="1:3" x14ac:dyDescent="0.25">
      <c r="A647" s="115">
        <v>41804.054166666698</v>
      </c>
      <c r="B647" s="114">
        <v>50.7</v>
      </c>
      <c r="C647" s="114" t="s">
        <v>165</v>
      </c>
    </row>
    <row r="648" spans="1:3" x14ac:dyDescent="0.25">
      <c r="A648" s="115">
        <v>41804.324999999997</v>
      </c>
      <c r="B648" s="114">
        <v>4.9000000000000004</v>
      </c>
      <c r="C648" s="114" t="s">
        <v>164</v>
      </c>
    </row>
    <row r="649" spans="1:3" x14ac:dyDescent="0.25">
      <c r="A649" s="115">
        <v>41804.5715277778</v>
      </c>
      <c r="B649" s="114">
        <v>50.2</v>
      </c>
      <c r="C649" s="114" t="s">
        <v>165</v>
      </c>
    </row>
    <row r="650" spans="1:3" x14ac:dyDescent="0.25">
      <c r="A650" s="115">
        <v>41804.845138888901</v>
      </c>
      <c r="B650" s="114">
        <v>3.3</v>
      </c>
      <c r="C650" s="114" t="s">
        <v>164</v>
      </c>
    </row>
    <row r="651" spans="1:3" x14ac:dyDescent="0.25">
      <c r="A651" s="115">
        <v>41805.085416666698</v>
      </c>
      <c r="B651" s="114">
        <v>51.1</v>
      </c>
      <c r="C651" s="114" t="s">
        <v>165</v>
      </c>
    </row>
    <row r="652" spans="1:3" x14ac:dyDescent="0.25">
      <c r="A652" s="115">
        <v>41805.357638888898</v>
      </c>
      <c r="B652" s="114">
        <v>5.0999999999999996</v>
      </c>
      <c r="C652" s="114" t="s">
        <v>164</v>
      </c>
    </row>
    <row r="653" spans="1:3" x14ac:dyDescent="0.25">
      <c r="A653" s="115">
        <v>41805.6027777778</v>
      </c>
      <c r="B653" s="114">
        <v>49.7</v>
      </c>
      <c r="C653" s="114" t="s">
        <v>165</v>
      </c>
    </row>
    <row r="654" spans="1:3" x14ac:dyDescent="0.25">
      <c r="A654" s="115">
        <v>41805.878472222197</v>
      </c>
      <c r="B654" s="114">
        <v>2.8</v>
      </c>
      <c r="C654" s="114" t="s">
        <v>164</v>
      </c>
    </row>
    <row r="655" spans="1:3" x14ac:dyDescent="0.25">
      <c r="A655" s="115">
        <v>41806.116666666698</v>
      </c>
      <c r="B655" s="114">
        <v>50.9</v>
      </c>
      <c r="C655" s="114" t="s">
        <v>165</v>
      </c>
    </row>
    <row r="656" spans="1:3" x14ac:dyDescent="0.25">
      <c r="A656" s="115">
        <v>41806.390277777798</v>
      </c>
      <c r="B656" s="114">
        <v>5.7</v>
      </c>
      <c r="C656" s="114" t="s">
        <v>164</v>
      </c>
    </row>
    <row r="657" spans="1:3" x14ac:dyDescent="0.25">
      <c r="A657" s="115">
        <v>41806.636111111096</v>
      </c>
      <c r="B657" s="114">
        <v>48.7</v>
      </c>
      <c r="C657" s="114" t="s">
        <v>165</v>
      </c>
    </row>
    <row r="658" spans="1:3" x14ac:dyDescent="0.25">
      <c r="A658" s="115">
        <v>41806.913194444402</v>
      </c>
      <c r="B658" s="114">
        <v>2.6</v>
      </c>
      <c r="C658" s="114" t="s">
        <v>164</v>
      </c>
    </row>
    <row r="659" spans="1:3" x14ac:dyDescent="0.25">
      <c r="A659" s="115">
        <v>41807.15</v>
      </c>
      <c r="B659" s="114">
        <v>50.1</v>
      </c>
      <c r="C659" s="114" t="s">
        <v>165</v>
      </c>
    </row>
    <row r="660" spans="1:3" x14ac:dyDescent="0.25">
      <c r="A660" s="115">
        <v>41807.422222222202</v>
      </c>
      <c r="B660" s="114">
        <v>6.4</v>
      </c>
      <c r="C660" s="114" t="s">
        <v>164</v>
      </c>
    </row>
    <row r="661" spans="1:3" x14ac:dyDescent="0.25">
      <c r="A661" s="115">
        <v>41807.670138888898</v>
      </c>
      <c r="B661" s="114">
        <v>47.7</v>
      </c>
      <c r="C661" s="114" t="s">
        <v>165</v>
      </c>
    </row>
    <row r="662" spans="1:3" x14ac:dyDescent="0.25">
      <c r="A662" s="115">
        <v>41807.948611111096</v>
      </c>
      <c r="B662" s="114">
        <v>2.6</v>
      </c>
      <c r="C662" s="114" t="s">
        <v>164</v>
      </c>
    </row>
    <row r="663" spans="1:3" x14ac:dyDescent="0.25">
      <c r="A663" s="115">
        <v>41808.1875</v>
      </c>
      <c r="B663" s="114">
        <v>49</v>
      </c>
      <c r="C663" s="114" t="s">
        <v>165</v>
      </c>
    </row>
    <row r="664" spans="1:3" x14ac:dyDescent="0.25">
      <c r="A664" s="115">
        <v>41808.456944444399</v>
      </c>
      <c r="B664" s="114">
        <v>7.2</v>
      </c>
      <c r="C664" s="114" t="s">
        <v>164</v>
      </c>
    </row>
    <row r="665" spans="1:3" x14ac:dyDescent="0.25">
      <c r="A665" s="115">
        <v>41808.706944444399</v>
      </c>
      <c r="B665" s="114">
        <v>46.6</v>
      </c>
      <c r="C665" s="114" t="s">
        <v>165</v>
      </c>
    </row>
    <row r="666" spans="1:3" x14ac:dyDescent="0.25">
      <c r="A666" s="115">
        <v>41808.984722222202</v>
      </c>
      <c r="B666" s="114">
        <v>3</v>
      </c>
      <c r="C666" s="114" t="s">
        <v>164</v>
      </c>
    </row>
    <row r="667" spans="1:3" x14ac:dyDescent="0.25">
      <c r="A667" s="115">
        <v>41809.233333333301</v>
      </c>
      <c r="B667" s="114">
        <v>47.8</v>
      </c>
      <c r="C667" s="114" t="s">
        <v>165</v>
      </c>
    </row>
    <row r="668" spans="1:3" x14ac:dyDescent="0.25">
      <c r="A668" s="115">
        <v>41809.492361111101</v>
      </c>
      <c r="B668" s="114">
        <v>8.1</v>
      </c>
      <c r="C668" s="114" t="s">
        <v>164</v>
      </c>
    </row>
    <row r="669" spans="1:3" x14ac:dyDescent="0.25">
      <c r="A669" s="115">
        <v>41809.751388888901</v>
      </c>
      <c r="B669" s="114">
        <v>45.6</v>
      </c>
      <c r="C669" s="114" t="s">
        <v>165</v>
      </c>
    </row>
    <row r="670" spans="1:3" x14ac:dyDescent="0.25">
      <c r="A670" s="115">
        <v>41810.025000000001</v>
      </c>
      <c r="B670" s="114">
        <v>3.9</v>
      </c>
      <c r="C670" s="114" t="s">
        <v>164</v>
      </c>
    </row>
    <row r="671" spans="1:3" x14ac:dyDescent="0.25">
      <c r="A671" s="115">
        <v>41810.274305555598</v>
      </c>
      <c r="B671" s="114">
        <v>46.6</v>
      </c>
      <c r="C671" s="114" t="s">
        <v>165</v>
      </c>
    </row>
    <row r="672" spans="1:3" x14ac:dyDescent="0.25">
      <c r="A672" s="115">
        <v>41810.534722222197</v>
      </c>
      <c r="B672" s="114">
        <v>9.1</v>
      </c>
      <c r="C672" s="114" t="s">
        <v>164</v>
      </c>
    </row>
    <row r="673" spans="1:3" x14ac:dyDescent="0.25">
      <c r="A673" s="115">
        <v>41810.795833333301</v>
      </c>
      <c r="B673" s="114">
        <v>44.5</v>
      </c>
      <c r="C673" s="114" t="s">
        <v>165</v>
      </c>
    </row>
    <row r="674" spans="1:3" x14ac:dyDescent="0.25">
      <c r="A674" s="115">
        <v>41811.065972222197</v>
      </c>
      <c r="B674" s="114">
        <v>5.0999999999999996</v>
      </c>
      <c r="C674" s="114" t="s">
        <v>164</v>
      </c>
    </row>
    <row r="675" spans="1:3" x14ac:dyDescent="0.25">
      <c r="A675" s="115">
        <v>41811.318749999999</v>
      </c>
      <c r="B675" s="114">
        <v>45.4</v>
      </c>
      <c r="C675" s="114" t="s">
        <v>165</v>
      </c>
    </row>
    <row r="676" spans="1:3" x14ac:dyDescent="0.25">
      <c r="A676" s="115">
        <v>41811.5805555556</v>
      </c>
      <c r="B676" s="114">
        <v>10</v>
      </c>
      <c r="C676" s="114" t="s">
        <v>164</v>
      </c>
    </row>
    <row r="677" spans="1:3" x14ac:dyDescent="0.25">
      <c r="A677" s="115">
        <v>41811.840277777803</v>
      </c>
      <c r="B677" s="114">
        <v>43.7</v>
      </c>
      <c r="C677" s="114" t="s">
        <v>165</v>
      </c>
    </row>
    <row r="678" spans="1:3" x14ac:dyDescent="0.25">
      <c r="A678" s="115">
        <v>41812.111111111102</v>
      </c>
      <c r="B678" s="114">
        <v>6.3</v>
      </c>
      <c r="C678" s="114" t="s">
        <v>164</v>
      </c>
    </row>
    <row r="679" spans="1:3" x14ac:dyDescent="0.25">
      <c r="A679" s="115">
        <v>41812.367361111101</v>
      </c>
      <c r="B679" s="114">
        <v>44.6</v>
      </c>
      <c r="C679" s="114" t="s">
        <v>165</v>
      </c>
    </row>
    <row r="680" spans="1:3" x14ac:dyDescent="0.25">
      <c r="A680" s="115">
        <v>41812.631944444402</v>
      </c>
      <c r="B680" s="114">
        <v>10.199999999999999</v>
      </c>
      <c r="C680" s="114" t="s">
        <v>164</v>
      </c>
    </row>
    <row r="681" spans="1:3" x14ac:dyDescent="0.25">
      <c r="A681" s="115">
        <v>41812.885416666701</v>
      </c>
      <c r="B681" s="114">
        <v>43.5</v>
      </c>
      <c r="C681" s="114" t="s">
        <v>165</v>
      </c>
    </row>
    <row r="682" spans="1:3" x14ac:dyDescent="0.25">
      <c r="A682" s="115">
        <v>41813.170833333301</v>
      </c>
      <c r="B682" s="114">
        <v>6.9</v>
      </c>
      <c r="C682" s="114" t="s">
        <v>164</v>
      </c>
    </row>
    <row r="683" spans="1:3" x14ac:dyDescent="0.25">
      <c r="A683" s="115">
        <v>41813.416666666701</v>
      </c>
      <c r="B683" s="114">
        <v>44.8</v>
      </c>
      <c r="C683" s="114" t="s">
        <v>165</v>
      </c>
    </row>
    <row r="684" spans="1:3" x14ac:dyDescent="0.25">
      <c r="A684" s="115">
        <v>41813.688194444403</v>
      </c>
      <c r="B684" s="114">
        <v>9.5</v>
      </c>
      <c r="C684" s="114" t="s">
        <v>164</v>
      </c>
    </row>
    <row r="685" spans="1:3" x14ac:dyDescent="0.25">
      <c r="A685" s="115">
        <v>41813.931250000001</v>
      </c>
      <c r="B685" s="114">
        <v>44.4</v>
      </c>
      <c r="C685" s="114" t="s">
        <v>165</v>
      </c>
    </row>
    <row r="686" spans="1:3" x14ac:dyDescent="0.25">
      <c r="A686" s="115">
        <v>41814.209027777797</v>
      </c>
      <c r="B686" s="114">
        <v>6.8</v>
      </c>
      <c r="C686" s="114" t="s">
        <v>164</v>
      </c>
    </row>
    <row r="687" spans="1:3" x14ac:dyDescent="0.25">
      <c r="A687" s="115">
        <v>41814.454861111102</v>
      </c>
      <c r="B687" s="114">
        <v>45.6</v>
      </c>
      <c r="C687" s="114" t="s">
        <v>165</v>
      </c>
    </row>
    <row r="688" spans="1:3" x14ac:dyDescent="0.25">
      <c r="A688" s="115">
        <v>41814.726388888899</v>
      </c>
      <c r="B688" s="114">
        <v>8.4</v>
      </c>
      <c r="C688" s="114" t="s">
        <v>164</v>
      </c>
    </row>
    <row r="689" spans="1:3" x14ac:dyDescent="0.25">
      <c r="A689" s="115">
        <v>41814.971527777801</v>
      </c>
      <c r="B689" s="114">
        <v>45.6</v>
      </c>
      <c r="C689" s="114" t="s">
        <v>165</v>
      </c>
    </row>
    <row r="690" spans="1:3" x14ac:dyDescent="0.25">
      <c r="A690" s="115">
        <v>41815.240277777797</v>
      </c>
      <c r="B690" s="114">
        <v>6.9</v>
      </c>
      <c r="C690" s="114" t="s">
        <v>164</v>
      </c>
    </row>
    <row r="691" spans="1:3" x14ac:dyDescent="0.25">
      <c r="A691" s="115">
        <v>41815.4909722222</v>
      </c>
      <c r="B691" s="114">
        <v>46.5</v>
      </c>
      <c r="C691" s="114" t="s">
        <v>165</v>
      </c>
    </row>
    <row r="692" spans="1:3" x14ac:dyDescent="0.25">
      <c r="A692" s="115">
        <v>41815.757638888899</v>
      </c>
      <c r="B692" s="114">
        <v>7.3</v>
      </c>
      <c r="C692" s="114" t="s">
        <v>164</v>
      </c>
    </row>
    <row r="693" spans="1:3" x14ac:dyDescent="0.25">
      <c r="A693" s="115">
        <v>41816.006249999999</v>
      </c>
      <c r="B693" s="114">
        <v>46.8</v>
      </c>
      <c r="C693" s="114" t="s">
        <v>165</v>
      </c>
    </row>
    <row r="694" spans="1:3" x14ac:dyDescent="0.25">
      <c r="A694" s="115">
        <v>41816.269444444399</v>
      </c>
      <c r="B694" s="114">
        <v>7</v>
      </c>
      <c r="C694" s="114" t="s">
        <v>164</v>
      </c>
    </row>
    <row r="695" spans="1:3" x14ac:dyDescent="0.25">
      <c r="A695" s="115">
        <v>41816.525000000001</v>
      </c>
      <c r="B695" s="114">
        <v>47</v>
      </c>
      <c r="C695" s="114" t="s">
        <v>165</v>
      </c>
    </row>
    <row r="696" spans="1:3" x14ac:dyDescent="0.25">
      <c r="A696" s="115">
        <v>41816.784027777801</v>
      </c>
      <c r="B696" s="114">
        <v>6.4</v>
      </c>
      <c r="C696" s="114" t="s">
        <v>164</v>
      </c>
    </row>
    <row r="697" spans="1:3" x14ac:dyDescent="0.25">
      <c r="A697" s="115">
        <v>41817.034722222197</v>
      </c>
      <c r="B697" s="114">
        <v>47.7</v>
      </c>
      <c r="C697" s="114" t="s">
        <v>165</v>
      </c>
    </row>
    <row r="698" spans="1:3" x14ac:dyDescent="0.25">
      <c r="A698" s="115">
        <v>41817.295138888898</v>
      </c>
      <c r="B698" s="114">
        <v>7.3</v>
      </c>
      <c r="C698" s="114" t="s">
        <v>164</v>
      </c>
    </row>
    <row r="699" spans="1:3" x14ac:dyDescent="0.25">
      <c r="A699" s="115">
        <v>41817.552777777797</v>
      </c>
      <c r="B699" s="114">
        <v>47.4</v>
      </c>
      <c r="C699" s="114" t="s">
        <v>165</v>
      </c>
    </row>
    <row r="700" spans="1:3" x14ac:dyDescent="0.25">
      <c r="A700" s="115">
        <v>41817.811805555597</v>
      </c>
      <c r="B700" s="114">
        <v>5.7</v>
      </c>
      <c r="C700" s="114" t="s">
        <v>164</v>
      </c>
    </row>
    <row r="701" spans="1:3" x14ac:dyDescent="0.25">
      <c r="A701" s="115">
        <v>41818.0625</v>
      </c>
      <c r="B701" s="114">
        <v>48.3</v>
      </c>
      <c r="C701" s="114" t="s">
        <v>165</v>
      </c>
    </row>
    <row r="702" spans="1:3" x14ac:dyDescent="0.25">
      <c r="A702" s="115">
        <v>41818.323611111096</v>
      </c>
      <c r="B702" s="114">
        <v>7.5</v>
      </c>
      <c r="C702" s="114" t="s">
        <v>164</v>
      </c>
    </row>
    <row r="703" spans="1:3" x14ac:dyDescent="0.25">
      <c r="A703" s="115">
        <v>41818.577777777798</v>
      </c>
      <c r="B703" s="114">
        <v>47.7</v>
      </c>
      <c r="C703" s="114" t="s">
        <v>165</v>
      </c>
    </row>
    <row r="704" spans="1:3" x14ac:dyDescent="0.25">
      <c r="A704" s="115">
        <v>41818.839583333298</v>
      </c>
      <c r="B704" s="114">
        <v>5.2</v>
      </c>
      <c r="C704" s="114" t="s">
        <v>164</v>
      </c>
    </row>
    <row r="705" spans="1:3" x14ac:dyDescent="0.25">
      <c r="A705" s="115">
        <v>41819.088888888902</v>
      </c>
      <c r="B705" s="114">
        <v>48.6</v>
      </c>
      <c r="C705" s="114" t="s">
        <v>165</v>
      </c>
    </row>
    <row r="706" spans="1:3" x14ac:dyDescent="0.25">
      <c r="A706" s="115">
        <v>41819.347222222197</v>
      </c>
      <c r="B706" s="114">
        <v>7.7</v>
      </c>
      <c r="C706" s="114" t="s">
        <v>164</v>
      </c>
    </row>
    <row r="707" spans="1:3" x14ac:dyDescent="0.25">
      <c r="A707" s="115">
        <v>41819.602083333302</v>
      </c>
      <c r="B707" s="114">
        <v>47.7</v>
      </c>
      <c r="C707" s="114" t="s">
        <v>165</v>
      </c>
    </row>
    <row r="708" spans="1:3" x14ac:dyDescent="0.25">
      <c r="A708" s="115">
        <v>41819.866666666698</v>
      </c>
      <c r="B708" s="114">
        <v>5</v>
      </c>
      <c r="C708" s="114" t="s">
        <v>164</v>
      </c>
    </row>
    <row r="709" spans="1:3" x14ac:dyDescent="0.25">
      <c r="A709" s="115">
        <v>41820.115277777797</v>
      </c>
      <c r="B709" s="114">
        <v>48.5</v>
      </c>
      <c r="C709" s="114" t="s">
        <v>165</v>
      </c>
    </row>
    <row r="710" spans="1:3" x14ac:dyDescent="0.25">
      <c r="A710" s="115">
        <v>41820.372222222199</v>
      </c>
      <c r="B710" s="114">
        <v>8.1</v>
      </c>
      <c r="C710" s="114" t="s">
        <v>164</v>
      </c>
    </row>
    <row r="711" spans="1:3" x14ac:dyDescent="0.25">
      <c r="A711" s="115">
        <v>41820.628472222197</v>
      </c>
      <c r="B711" s="114">
        <v>47.3</v>
      </c>
      <c r="C711" s="114" t="s">
        <v>165</v>
      </c>
    </row>
    <row r="712" spans="1:3" x14ac:dyDescent="0.25">
      <c r="A712" s="115">
        <v>41820.896527777797</v>
      </c>
      <c r="B712" s="114">
        <v>5.3</v>
      </c>
      <c r="C712" s="114" t="s">
        <v>164</v>
      </c>
    </row>
    <row r="713" spans="1:3" x14ac:dyDescent="0.25">
      <c r="A713" s="115">
        <v>41821.139583333301</v>
      </c>
      <c r="B713" s="114">
        <v>47.9</v>
      </c>
      <c r="C713" s="114" t="s">
        <v>165</v>
      </c>
    </row>
    <row r="714" spans="1:3" x14ac:dyDescent="0.25">
      <c r="A714" s="115">
        <v>41821.4</v>
      </c>
      <c r="B714" s="114">
        <v>8.6999999999999993</v>
      </c>
      <c r="C714" s="114" t="s">
        <v>164</v>
      </c>
    </row>
    <row r="715" spans="1:3" x14ac:dyDescent="0.25">
      <c r="A715" s="115">
        <v>41821.652777777803</v>
      </c>
      <c r="B715" s="114">
        <v>46.5</v>
      </c>
      <c r="C715" s="114" t="s">
        <v>165</v>
      </c>
    </row>
    <row r="716" spans="1:3" x14ac:dyDescent="0.25">
      <c r="A716" s="115">
        <v>41821.920833333301</v>
      </c>
      <c r="B716" s="114">
        <v>6</v>
      </c>
      <c r="C716" s="114" t="s">
        <v>164</v>
      </c>
    </row>
    <row r="717" spans="1:3" x14ac:dyDescent="0.25">
      <c r="A717" s="115">
        <v>41822.1652777778</v>
      </c>
      <c r="B717" s="114">
        <v>46.8</v>
      </c>
      <c r="C717" s="114" t="s">
        <v>165</v>
      </c>
    </row>
    <row r="718" spans="1:3" x14ac:dyDescent="0.25">
      <c r="A718" s="115">
        <v>41822.420833333301</v>
      </c>
      <c r="B718" s="114">
        <v>9.4</v>
      </c>
      <c r="C718" s="114" t="s">
        <v>164</v>
      </c>
    </row>
    <row r="719" spans="1:3" x14ac:dyDescent="0.25">
      <c r="A719" s="115">
        <v>41822.677083333299</v>
      </c>
      <c r="B719" s="114">
        <v>45.4</v>
      </c>
      <c r="C719" s="114" t="s">
        <v>165</v>
      </c>
    </row>
    <row r="720" spans="1:3" x14ac:dyDescent="0.25">
      <c r="A720" s="115">
        <v>41822.944444444402</v>
      </c>
      <c r="B720" s="114">
        <v>6.8</v>
      </c>
      <c r="C720" s="114" t="s">
        <v>164</v>
      </c>
    </row>
    <row r="721" spans="1:3" x14ac:dyDescent="0.25">
      <c r="A721" s="115">
        <v>41823.191666666702</v>
      </c>
      <c r="B721" s="114">
        <v>45.5</v>
      </c>
      <c r="C721" s="114" t="s">
        <v>165</v>
      </c>
    </row>
    <row r="722" spans="1:3" x14ac:dyDescent="0.25">
      <c r="A722" s="115">
        <v>41823.444444444402</v>
      </c>
      <c r="B722" s="114">
        <v>10</v>
      </c>
      <c r="C722" s="114" t="s">
        <v>164</v>
      </c>
    </row>
    <row r="723" spans="1:3" x14ac:dyDescent="0.25">
      <c r="A723" s="115">
        <v>41823.701388888898</v>
      </c>
      <c r="B723" s="114">
        <v>44.2</v>
      </c>
      <c r="C723" s="114" t="s">
        <v>165</v>
      </c>
    </row>
    <row r="724" spans="1:3" x14ac:dyDescent="0.25">
      <c r="A724" s="115">
        <v>41823.961111111101</v>
      </c>
      <c r="B724" s="114">
        <v>7.6</v>
      </c>
      <c r="C724" s="114" t="s">
        <v>164</v>
      </c>
    </row>
    <row r="725" spans="1:3" x14ac:dyDescent="0.25">
      <c r="A725" s="115">
        <v>41824.216666666704</v>
      </c>
      <c r="B725" s="114">
        <v>44.5</v>
      </c>
      <c r="C725" s="114" t="s">
        <v>165</v>
      </c>
    </row>
    <row r="726" spans="1:3" x14ac:dyDescent="0.25">
      <c r="A726" s="115">
        <v>41824.46875</v>
      </c>
      <c r="B726" s="114">
        <v>10.5</v>
      </c>
      <c r="C726" s="114" t="s">
        <v>164</v>
      </c>
    </row>
    <row r="727" spans="1:3" x14ac:dyDescent="0.25">
      <c r="A727" s="115">
        <v>41824.728472222203</v>
      </c>
      <c r="B727" s="114">
        <v>43.1</v>
      </c>
      <c r="C727" s="114" t="s">
        <v>165</v>
      </c>
    </row>
    <row r="728" spans="1:3" x14ac:dyDescent="0.25">
      <c r="A728" s="115">
        <v>41824.988194444399</v>
      </c>
      <c r="B728" s="114">
        <v>8.1999999999999993</v>
      </c>
      <c r="C728" s="114" t="s">
        <v>164</v>
      </c>
    </row>
    <row r="729" spans="1:3" x14ac:dyDescent="0.25">
      <c r="A729" s="115">
        <v>41825.245833333298</v>
      </c>
      <c r="B729" s="114">
        <v>43.5</v>
      </c>
      <c r="C729" s="114" t="s">
        <v>165</v>
      </c>
    </row>
    <row r="730" spans="1:3" x14ac:dyDescent="0.25">
      <c r="A730" s="115">
        <v>41825.5</v>
      </c>
      <c r="B730" s="114">
        <v>10.9</v>
      </c>
      <c r="C730" s="114" t="s">
        <v>164</v>
      </c>
    </row>
    <row r="731" spans="1:3" x14ac:dyDescent="0.25">
      <c r="A731" s="115">
        <v>41825.7680555556</v>
      </c>
      <c r="B731" s="114">
        <v>42.1</v>
      </c>
      <c r="C731" s="114" t="s">
        <v>165</v>
      </c>
    </row>
    <row r="732" spans="1:3" x14ac:dyDescent="0.25">
      <c r="A732" s="115">
        <v>41826.022916666698</v>
      </c>
      <c r="B732" s="114">
        <v>8.8000000000000007</v>
      </c>
      <c r="C732" s="114" t="s">
        <v>164</v>
      </c>
    </row>
    <row r="733" spans="1:3" x14ac:dyDescent="0.25">
      <c r="A733" s="115">
        <v>41826.291666666701</v>
      </c>
      <c r="B733" s="114">
        <v>43</v>
      </c>
      <c r="C733" s="114" t="s">
        <v>165</v>
      </c>
    </row>
    <row r="734" spans="1:3" x14ac:dyDescent="0.25">
      <c r="A734" s="115">
        <v>41826.538194444402</v>
      </c>
      <c r="B734" s="114">
        <v>11.4</v>
      </c>
      <c r="C734" s="114" t="s">
        <v>164</v>
      </c>
    </row>
    <row r="735" spans="1:3" x14ac:dyDescent="0.25">
      <c r="A735" s="115">
        <v>41826.813194444403</v>
      </c>
      <c r="B735" s="114">
        <v>41.6</v>
      </c>
      <c r="C735" s="114" t="s">
        <v>165</v>
      </c>
    </row>
    <row r="736" spans="1:3" x14ac:dyDescent="0.25">
      <c r="A736" s="115">
        <v>41827.0805555556</v>
      </c>
      <c r="B736" s="114">
        <v>9.1999999999999993</v>
      </c>
      <c r="C736" s="114" t="s">
        <v>164</v>
      </c>
    </row>
    <row r="737" spans="1:3" x14ac:dyDescent="0.25">
      <c r="A737" s="115">
        <v>41827.339583333298</v>
      </c>
      <c r="B737" s="114">
        <v>43.1</v>
      </c>
      <c r="C737" s="114" t="s">
        <v>165</v>
      </c>
    </row>
    <row r="738" spans="1:3" x14ac:dyDescent="0.25">
      <c r="A738" s="115">
        <v>41827.601388888899</v>
      </c>
      <c r="B738" s="114">
        <v>11.2</v>
      </c>
      <c r="C738" s="114" t="s">
        <v>164</v>
      </c>
    </row>
    <row r="739" spans="1:3" x14ac:dyDescent="0.25">
      <c r="A739" s="115">
        <v>41827.858333333301</v>
      </c>
      <c r="B739" s="114">
        <v>41.9</v>
      </c>
      <c r="C739" s="114" t="s">
        <v>165</v>
      </c>
    </row>
    <row r="740" spans="1:3" x14ac:dyDescent="0.25">
      <c r="A740" s="115">
        <v>41828.122222222199</v>
      </c>
      <c r="B740" s="114">
        <v>9</v>
      </c>
      <c r="C740" s="114" t="s">
        <v>164</v>
      </c>
    </row>
    <row r="741" spans="1:3" x14ac:dyDescent="0.25">
      <c r="A741" s="115">
        <v>41828.381249999999</v>
      </c>
      <c r="B741" s="114">
        <v>43.9</v>
      </c>
      <c r="C741" s="114" t="s">
        <v>165</v>
      </c>
    </row>
    <row r="742" spans="1:3" x14ac:dyDescent="0.25">
      <c r="A742" s="115">
        <v>41828.65</v>
      </c>
      <c r="B742" s="114">
        <v>10.199999999999999</v>
      </c>
      <c r="C742" s="114" t="s">
        <v>164</v>
      </c>
    </row>
    <row r="743" spans="1:3" x14ac:dyDescent="0.25">
      <c r="A743" s="115">
        <v>41828.902777777803</v>
      </c>
      <c r="B743" s="114">
        <v>43.3</v>
      </c>
      <c r="C743" s="114" t="s">
        <v>165</v>
      </c>
    </row>
    <row r="744" spans="1:3" x14ac:dyDescent="0.25">
      <c r="A744" s="115">
        <v>41829.163194444402</v>
      </c>
      <c r="B744" s="114">
        <v>8.3000000000000007</v>
      </c>
      <c r="C744" s="114" t="s">
        <v>164</v>
      </c>
    </row>
    <row r="745" spans="1:3" x14ac:dyDescent="0.25">
      <c r="A745" s="115">
        <v>41829.4243055556</v>
      </c>
      <c r="B745" s="114">
        <v>45.5</v>
      </c>
      <c r="C745" s="114" t="s">
        <v>165</v>
      </c>
    </row>
    <row r="746" spans="1:3" x14ac:dyDescent="0.25">
      <c r="A746" s="115">
        <v>41829.6875</v>
      </c>
      <c r="B746" s="114">
        <v>8.6999999999999993</v>
      </c>
      <c r="C746" s="114" t="s">
        <v>164</v>
      </c>
    </row>
    <row r="747" spans="1:3" x14ac:dyDescent="0.25">
      <c r="A747" s="115">
        <v>41829.941666666702</v>
      </c>
      <c r="B747" s="114">
        <v>45.4</v>
      </c>
      <c r="C747" s="114" t="s">
        <v>165</v>
      </c>
    </row>
    <row r="748" spans="1:3" x14ac:dyDescent="0.25">
      <c r="A748" s="115">
        <v>41830.2055555556</v>
      </c>
      <c r="B748" s="114">
        <v>7.4</v>
      </c>
      <c r="C748" s="114" t="s">
        <v>164</v>
      </c>
    </row>
    <row r="749" spans="1:3" x14ac:dyDescent="0.25">
      <c r="A749" s="115">
        <v>41830.463194444397</v>
      </c>
      <c r="B749" s="114">
        <v>47.3</v>
      </c>
      <c r="C749" s="114" t="s">
        <v>165</v>
      </c>
    </row>
    <row r="750" spans="1:3" x14ac:dyDescent="0.25">
      <c r="A750" s="115">
        <v>41830.726388888899</v>
      </c>
      <c r="B750" s="114">
        <v>7.1</v>
      </c>
      <c r="C750" s="114" t="s">
        <v>164</v>
      </c>
    </row>
    <row r="751" spans="1:3" x14ac:dyDescent="0.25">
      <c r="A751" s="115">
        <v>41830.978472222203</v>
      </c>
      <c r="B751" s="114">
        <v>47.7</v>
      </c>
      <c r="C751" s="114" t="s">
        <v>165</v>
      </c>
    </row>
    <row r="752" spans="1:3" x14ac:dyDescent="0.25">
      <c r="A752" s="115">
        <v>41831.244444444397</v>
      </c>
      <c r="B752" s="114">
        <v>6.5</v>
      </c>
      <c r="C752" s="114" t="s">
        <v>164</v>
      </c>
    </row>
    <row r="753" spans="1:3" x14ac:dyDescent="0.25">
      <c r="A753" s="115">
        <v>41831.497916666704</v>
      </c>
      <c r="B753" s="114">
        <v>48.8</v>
      </c>
      <c r="C753" s="114" t="s">
        <v>165</v>
      </c>
    </row>
    <row r="754" spans="1:3" x14ac:dyDescent="0.25">
      <c r="A754" s="115">
        <v>41831.7680555556</v>
      </c>
      <c r="B754" s="114">
        <v>5.5</v>
      </c>
      <c r="C754" s="114" t="s">
        <v>164</v>
      </c>
    </row>
    <row r="755" spans="1:3" x14ac:dyDescent="0.25">
      <c r="A755" s="115">
        <v>41832.011111111096</v>
      </c>
      <c r="B755" s="114">
        <v>49.6</v>
      </c>
      <c r="C755" s="114" t="s">
        <v>165</v>
      </c>
    </row>
    <row r="756" spans="1:3" x14ac:dyDescent="0.25">
      <c r="A756" s="115">
        <v>41832.279166666704</v>
      </c>
      <c r="B756" s="114">
        <v>5.9</v>
      </c>
      <c r="C756" s="114" t="s">
        <v>164</v>
      </c>
    </row>
    <row r="757" spans="1:3" x14ac:dyDescent="0.25">
      <c r="A757" s="115">
        <v>41832.531944444403</v>
      </c>
      <c r="B757" s="114">
        <v>49.8</v>
      </c>
      <c r="C757" s="114" t="s">
        <v>165</v>
      </c>
    </row>
    <row r="758" spans="1:3" x14ac:dyDescent="0.25">
      <c r="A758" s="115">
        <v>41832.800000000003</v>
      </c>
      <c r="B758" s="114">
        <v>4</v>
      </c>
      <c r="C758" s="114" t="s">
        <v>164</v>
      </c>
    </row>
    <row r="759" spans="1:3" x14ac:dyDescent="0.25">
      <c r="A759" s="115">
        <v>41833.043749999997</v>
      </c>
      <c r="B759" s="114">
        <v>51</v>
      </c>
      <c r="C759" s="114" t="s">
        <v>165</v>
      </c>
    </row>
    <row r="760" spans="1:3" x14ac:dyDescent="0.25">
      <c r="A760" s="115">
        <v>41833.3125</v>
      </c>
      <c r="B760" s="114">
        <v>5.6</v>
      </c>
      <c r="C760" s="114" t="s">
        <v>164</v>
      </c>
    </row>
    <row r="761" spans="1:3" x14ac:dyDescent="0.25">
      <c r="A761" s="115">
        <v>41833.559722222199</v>
      </c>
      <c r="B761" s="114">
        <v>50.4</v>
      </c>
      <c r="C761" s="114" t="s">
        <v>165</v>
      </c>
    </row>
    <row r="762" spans="1:3" x14ac:dyDescent="0.25">
      <c r="A762" s="115">
        <v>41833.8347222222</v>
      </c>
      <c r="B762" s="114">
        <v>2.9</v>
      </c>
      <c r="C762" s="114" t="s">
        <v>164</v>
      </c>
    </row>
    <row r="763" spans="1:3" x14ac:dyDescent="0.25">
      <c r="A763" s="115">
        <v>41834.074999999997</v>
      </c>
      <c r="B763" s="114">
        <v>51.9</v>
      </c>
      <c r="C763" s="114" t="s">
        <v>165</v>
      </c>
    </row>
    <row r="764" spans="1:3" x14ac:dyDescent="0.25">
      <c r="A764" s="115">
        <v>41834.345138888901</v>
      </c>
      <c r="B764" s="114">
        <v>5.7</v>
      </c>
      <c r="C764" s="114" t="s">
        <v>164</v>
      </c>
    </row>
    <row r="765" spans="1:3" x14ac:dyDescent="0.25">
      <c r="A765" s="115">
        <v>41834.592361111099</v>
      </c>
      <c r="B765" s="114">
        <v>50.6</v>
      </c>
      <c r="C765" s="114" t="s">
        <v>165</v>
      </c>
    </row>
    <row r="766" spans="1:3" x14ac:dyDescent="0.25">
      <c r="A766" s="115">
        <v>41834.867361111101</v>
      </c>
      <c r="B766" s="114">
        <v>2.2000000000000002</v>
      </c>
      <c r="C766" s="114" t="s">
        <v>164</v>
      </c>
    </row>
    <row r="767" spans="1:3" x14ac:dyDescent="0.25">
      <c r="A767" s="115">
        <v>41835.106249999997</v>
      </c>
      <c r="B767" s="114">
        <v>52</v>
      </c>
      <c r="C767" s="114" t="s">
        <v>165</v>
      </c>
    </row>
    <row r="768" spans="1:3" x14ac:dyDescent="0.25">
      <c r="A768" s="115">
        <v>41835.377083333296</v>
      </c>
      <c r="B768" s="114">
        <v>6</v>
      </c>
      <c r="C768" s="114" t="s">
        <v>164</v>
      </c>
    </row>
    <row r="769" spans="1:3" x14ac:dyDescent="0.25">
      <c r="A769" s="115">
        <v>41835.624305555597</v>
      </c>
      <c r="B769" s="114">
        <v>50.4</v>
      </c>
      <c r="C769" s="114" t="s">
        <v>165</v>
      </c>
    </row>
    <row r="770" spans="1:3" x14ac:dyDescent="0.25">
      <c r="A770" s="115">
        <v>41835.900694444397</v>
      </c>
      <c r="B770" s="114">
        <v>1.8</v>
      </c>
      <c r="C770" s="114" t="s">
        <v>164</v>
      </c>
    </row>
    <row r="771" spans="1:3" x14ac:dyDescent="0.25">
      <c r="A771" s="115">
        <v>41836.140972222202</v>
      </c>
      <c r="B771" s="114">
        <v>51.5</v>
      </c>
      <c r="C771" s="114" t="s">
        <v>165</v>
      </c>
    </row>
    <row r="772" spans="1:3" x14ac:dyDescent="0.25">
      <c r="A772" s="115">
        <v>41836.409722222197</v>
      </c>
      <c r="B772" s="114">
        <v>6.4</v>
      </c>
      <c r="C772" s="114" t="s">
        <v>164</v>
      </c>
    </row>
    <row r="773" spans="1:3" x14ac:dyDescent="0.25">
      <c r="A773" s="115">
        <v>41836.658333333296</v>
      </c>
      <c r="B773" s="114">
        <v>49.8</v>
      </c>
      <c r="C773" s="114" t="s">
        <v>165</v>
      </c>
    </row>
    <row r="774" spans="1:3" x14ac:dyDescent="0.25">
      <c r="A774" s="115">
        <v>41836.934027777803</v>
      </c>
      <c r="B774" s="114">
        <v>2</v>
      </c>
      <c r="C774" s="114" t="s">
        <v>164</v>
      </c>
    </row>
    <row r="775" spans="1:3" x14ac:dyDescent="0.25">
      <c r="A775" s="115">
        <v>41837.177777777797</v>
      </c>
      <c r="B775" s="114">
        <v>50.4</v>
      </c>
      <c r="C775" s="114" t="s">
        <v>165</v>
      </c>
    </row>
    <row r="776" spans="1:3" x14ac:dyDescent="0.25">
      <c r="A776" s="115">
        <v>41837.443055555603</v>
      </c>
      <c r="B776" s="114">
        <v>7</v>
      </c>
      <c r="C776" s="114" t="s">
        <v>164</v>
      </c>
    </row>
    <row r="777" spans="1:3" x14ac:dyDescent="0.25">
      <c r="A777" s="115">
        <v>41837.692361111098</v>
      </c>
      <c r="B777" s="114">
        <v>48.9</v>
      </c>
      <c r="C777" s="114" t="s">
        <v>165</v>
      </c>
    </row>
    <row r="778" spans="1:3" x14ac:dyDescent="0.25">
      <c r="A778" s="115">
        <v>41837.96875</v>
      </c>
      <c r="B778" s="114">
        <v>2.6</v>
      </c>
      <c r="C778" s="114" t="s">
        <v>164</v>
      </c>
    </row>
    <row r="779" spans="1:3" x14ac:dyDescent="0.25">
      <c r="A779" s="115">
        <v>41838.214583333298</v>
      </c>
      <c r="B779" s="114">
        <v>49</v>
      </c>
      <c r="C779" s="114" t="s">
        <v>165</v>
      </c>
    </row>
    <row r="780" spans="1:3" x14ac:dyDescent="0.25">
      <c r="A780" s="115">
        <v>41838.476388888899</v>
      </c>
      <c r="B780" s="114">
        <v>7.8</v>
      </c>
      <c r="C780" s="114" t="s">
        <v>164</v>
      </c>
    </row>
    <row r="781" spans="1:3" x14ac:dyDescent="0.25">
      <c r="A781" s="115">
        <v>41838.732638888898</v>
      </c>
      <c r="B781" s="114">
        <v>47.6</v>
      </c>
      <c r="C781" s="114" t="s">
        <v>165</v>
      </c>
    </row>
    <row r="782" spans="1:3" x14ac:dyDescent="0.25">
      <c r="A782" s="115">
        <v>41839.004166666702</v>
      </c>
      <c r="B782" s="114">
        <v>3.9</v>
      </c>
      <c r="C782" s="114" t="s">
        <v>164</v>
      </c>
    </row>
    <row r="783" spans="1:3" x14ac:dyDescent="0.25">
      <c r="A783" s="115">
        <v>41839.255555555603</v>
      </c>
      <c r="B783" s="114">
        <v>47.3</v>
      </c>
      <c r="C783" s="114" t="s">
        <v>165</v>
      </c>
    </row>
    <row r="784" spans="1:3" x14ac:dyDescent="0.25">
      <c r="A784" s="115">
        <v>41839.512499999997</v>
      </c>
      <c r="B784" s="114">
        <v>8.8000000000000007</v>
      </c>
      <c r="C784" s="114" t="s">
        <v>164</v>
      </c>
    </row>
    <row r="785" spans="1:3" x14ac:dyDescent="0.25">
      <c r="A785" s="115">
        <v>41839.775000000001</v>
      </c>
      <c r="B785" s="114">
        <v>46</v>
      </c>
      <c r="C785" s="114" t="s">
        <v>165</v>
      </c>
    </row>
    <row r="786" spans="1:3" x14ac:dyDescent="0.25">
      <c r="A786" s="115">
        <v>41840.038194444402</v>
      </c>
      <c r="B786" s="114">
        <v>5.6</v>
      </c>
      <c r="C786" s="114" t="s">
        <v>164</v>
      </c>
    </row>
    <row r="787" spans="1:3" x14ac:dyDescent="0.25">
      <c r="A787" s="115">
        <v>41840.295138888898</v>
      </c>
      <c r="B787" s="114">
        <v>45.2</v>
      </c>
      <c r="C787" s="114" t="s">
        <v>165</v>
      </c>
    </row>
    <row r="788" spans="1:3" x14ac:dyDescent="0.25">
      <c r="A788" s="115">
        <v>41840.552083333299</v>
      </c>
      <c r="B788" s="114">
        <v>10</v>
      </c>
      <c r="C788" s="114" t="s">
        <v>164</v>
      </c>
    </row>
    <row r="789" spans="1:3" x14ac:dyDescent="0.25">
      <c r="A789" s="115">
        <v>41840.815972222197</v>
      </c>
      <c r="B789" s="114">
        <v>44.2</v>
      </c>
      <c r="C789" s="114" t="s">
        <v>165</v>
      </c>
    </row>
    <row r="790" spans="1:3" x14ac:dyDescent="0.25">
      <c r="A790" s="115">
        <v>41841.082638888904</v>
      </c>
      <c r="B790" s="114">
        <v>7.5</v>
      </c>
      <c r="C790" s="114" t="s">
        <v>164</v>
      </c>
    </row>
    <row r="791" spans="1:3" x14ac:dyDescent="0.25">
      <c r="A791" s="115">
        <v>41841.347916666702</v>
      </c>
      <c r="B791" s="114">
        <v>43.4</v>
      </c>
      <c r="C791" s="114" t="s">
        <v>165</v>
      </c>
    </row>
    <row r="792" spans="1:3" x14ac:dyDescent="0.25">
      <c r="A792" s="115">
        <v>41841.604166666701</v>
      </c>
      <c r="B792" s="114">
        <v>10.8</v>
      </c>
      <c r="C792" s="114" t="s">
        <v>164</v>
      </c>
    </row>
    <row r="793" spans="1:3" x14ac:dyDescent="0.25">
      <c r="A793" s="115">
        <v>41841.864583333299</v>
      </c>
      <c r="B793" s="114">
        <v>42.9</v>
      </c>
      <c r="C793" s="114" t="s">
        <v>165</v>
      </c>
    </row>
    <row r="794" spans="1:3" x14ac:dyDescent="0.25">
      <c r="A794" s="115">
        <v>41842.134722222203</v>
      </c>
      <c r="B794" s="114">
        <v>8.9</v>
      </c>
      <c r="C794" s="114" t="s">
        <v>164</v>
      </c>
    </row>
    <row r="795" spans="1:3" x14ac:dyDescent="0.25">
      <c r="A795" s="115">
        <v>41842.400000000001</v>
      </c>
      <c r="B795" s="114">
        <v>42.8</v>
      </c>
      <c r="C795" s="114" t="s">
        <v>165</v>
      </c>
    </row>
    <row r="796" spans="1:3" x14ac:dyDescent="0.25">
      <c r="A796" s="115">
        <v>41842.663194444402</v>
      </c>
      <c r="B796" s="114">
        <v>10.6</v>
      </c>
      <c r="C796" s="114" t="s">
        <v>164</v>
      </c>
    </row>
    <row r="797" spans="1:3" x14ac:dyDescent="0.25">
      <c r="A797" s="115">
        <v>41842.920833333301</v>
      </c>
      <c r="B797" s="114">
        <v>43.2</v>
      </c>
      <c r="C797" s="114" t="s">
        <v>165</v>
      </c>
    </row>
    <row r="798" spans="1:3" x14ac:dyDescent="0.25">
      <c r="A798" s="115">
        <v>41843.191666666702</v>
      </c>
      <c r="B798" s="114">
        <v>9.1</v>
      </c>
      <c r="C798" s="114" t="s">
        <v>164</v>
      </c>
    </row>
    <row r="799" spans="1:3" x14ac:dyDescent="0.25">
      <c r="A799" s="115">
        <v>41843.448611111096</v>
      </c>
      <c r="B799" s="114">
        <v>43.8</v>
      </c>
      <c r="C799" s="114" t="s">
        <v>165</v>
      </c>
    </row>
    <row r="800" spans="1:3" x14ac:dyDescent="0.25">
      <c r="A800" s="115">
        <v>41843.712500000001</v>
      </c>
      <c r="B800" s="114">
        <v>9.4</v>
      </c>
      <c r="C800" s="114" t="s">
        <v>164</v>
      </c>
    </row>
    <row r="801" spans="1:3" x14ac:dyDescent="0.25">
      <c r="A801" s="115">
        <v>41843.961805555598</v>
      </c>
      <c r="B801" s="114">
        <v>44.7</v>
      </c>
      <c r="C801" s="114" t="s">
        <v>165</v>
      </c>
    </row>
    <row r="802" spans="1:3" x14ac:dyDescent="0.25">
      <c r="A802" s="115">
        <v>41844.225694444402</v>
      </c>
      <c r="B802" s="114">
        <v>8.9</v>
      </c>
      <c r="C802" s="114" t="s">
        <v>164</v>
      </c>
    </row>
    <row r="803" spans="1:3" x14ac:dyDescent="0.25">
      <c r="A803" s="115">
        <v>41844.482638888898</v>
      </c>
      <c r="B803" s="114">
        <v>45.3</v>
      </c>
      <c r="C803" s="114" t="s">
        <v>165</v>
      </c>
    </row>
    <row r="804" spans="1:3" x14ac:dyDescent="0.25">
      <c r="A804" s="115">
        <v>41844.747222222199</v>
      </c>
      <c r="B804" s="114">
        <v>8.1</v>
      </c>
      <c r="C804" s="114" t="s">
        <v>164</v>
      </c>
    </row>
    <row r="805" spans="1:3" x14ac:dyDescent="0.25">
      <c r="A805" s="115">
        <v>41844.999305555597</v>
      </c>
      <c r="B805" s="114">
        <v>46.3</v>
      </c>
      <c r="C805" s="114" t="s">
        <v>165</v>
      </c>
    </row>
    <row r="806" spans="1:3" x14ac:dyDescent="0.25">
      <c r="A806" s="115">
        <v>41845.256249999999</v>
      </c>
      <c r="B806" s="114">
        <v>8.8000000000000007</v>
      </c>
      <c r="C806" s="114" t="s">
        <v>164</v>
      </c>
    </row>
    <row r="807" spans="1:3" x14ac:dyDescent="0.25">
      <c r="A807" s="115">
        <v>41845.5180555556</v>
      </c>
      <c r="B807" s="114">
        <v>46.4</v>
      </c>
      <c r="C807" s="114" t="s">
        <v>165</v>
      </c>
    </row>
    <row r="808" spans="1:3" x14ac:dyDescent="0.25">
      <c r="A808" s="115">
        <v>41845.774305555598</v>
      </c>
      <c r="B808" s="114">
        <v>7.2</v>
      </c>
      <c r="C808" s="114" t="s">
        <v>164</v>
      </c>
    </row>
    <row r="809" spans="1:3" x14ac:dyDescent="0.25">
      <c r="A809" s="115">
        <v>41846.031944444403</v>
      </c>
      <c r="B809" s="114">
        <v>47.3</v>
      </c>
      <c r="C809" s="114" t="s">
        <v>165</v>
      </c>
    </row>
    <row r="810" spans="1:3" x14ac:dyDescent="0.25">
      <c r="A810" s="115">
        <v>41846.283333333296</v>
      </c>
      <c r="B810" s="114">
        <v>8.8000000000000007</v>
      </c>
      <c r="C810" s="114" t="s">
        <v>164</v>
      </c>
    </row>
    <row r="811" spans="1:3" x14ac:dyDescent="0.25">
      <c r="A811" s="115">
        <v>41846.542361111096</v>
      </c>
      <c r="B811" s="114">
        <v>47.1</v>
      </c>
      <c r="C811" s="114" t="s">
        <v>165</v>
      </c>
    </row>
    <row r="812" spans="1:3" x14ac:dyDescent="0.25">
      <c r="A812" s="115">
        <v>41846.802083333299</v>
      </c>
      <c r="B812" s="114">
        <v>6.5</v>
      </c>
      <c r="C812" s="114" t="s">
        <v>164</v>
      </c>
    </row>
    <row r="813" spans="1:3" x14ac:dyDescent="0.25">
      <c r="A813" s="115">
        <v>41847.054861111101</v>
      </c>
      <c r="B813" s="114">
        <v>48</v>
      </c>
      <c r="C813" s="114" t="s">
        <v>165</v>
      </c>
    </row>
    <row r="814" spans="1:3" x14ac:dyDescent="0.25">
      <c r="A814" s="115">
        <v>41847.309027777803</v>
      </c>
      <c r="B814" s="114">
        <v>8.6999999999999993</v>
      </c>
      <c r="C814" s="114" t="s">
        <v>164</v>
      </c>
    </row>
    <row r="815" spans="1:3" x14ac:dyDescent="0.25">
      <c r="A815" s="115">
        <v>41847.566666666702</v>
      </c>
      <c r="B815" s="114">
        <v>47.6</v>
      </c>
      <c r="C815" s="114" t="s">
        <v>165</v>
      </c>
    </row>
    <row r="816" spans="1:3" x14ac:dyDescent="0.25">
      <c r="A816" s="115">
        <v>41847.827777777798</v>
      </c>
      <c r="B816" s="114">
        <v>5.9</v>
      </c>
      <c r="C816" s="114" t="s">
        <v>164</v>
      </c>
    </row>
    <row r="817" spans="1:3" x14ac:dyDescent="0.25">
      <c r="A817" s="115">
        <v>41848.077083333301</v>
      </c>
      <c r="B817" s="114">
        <v>48.6</v>
      </c>
      <c r="C817" s="114" t="s">
        <v>165</v>
      </c>
    </row>
    <row r="818" spans="1:3" x14ac:dyDescent="0.25">
      <c r="A818" s="115">
        <v>41848.331944444399</v>
      </c>
      <c r="B818" s="114">
        <v>8.4</v>
      </c>
      <c r="C818" s="114" t="s">
        <v>164</v>
      </c>
    </row>
    <row r="819" spans="1:3" x14ac:dyDescent="0.25">
      <c r="A819" s="115">
        <v>41848.587500000001</v>
      </c>
      <c r="B819" s="114">
        <v>48.1</v>
      </c>
      <c r="C819" s="114" t="s">
        <v>165</v>
      </c>
    </row>
    <row r="820" spans="1:3" x14ac:dyDescent="0.25">
      <c r="A820" s="115">
        <v>41848.854861111096</v>
      </c>
      <c r="B820" s="114">
        <v>5.5</v>
      </c>
      <c r="C820" s="114" t="s">
        <v>164</v>
      </c>
    </row>
    <row r="821" spans="1:3" x14ac:dyDescent="0.25">
      <c r="A821" s="115">
        <v>41849.101388888899</v>
      </c>
      <c r="B821" s="114">
        <v>48.9</v>
      </c>
      <c r="C821" s="114" t="s">
        <v>165</v>
      </c>
    </row>
    <row r="822" spans="1:3" x14ac:dyDescent="0.25">
      <c r="A822" s="115">
        <v>41849.357638888898</v>
      </c>
      <c r="B822" s="114">
        <v>8.1999999999999993</v>
      </c>
      <c r="C822" s="114" t="s">
        <v>164</v>
      </c>
    </row>
    <row r="823" spans="1:3" x14ac:dyDescent="0.25">
      <c r="A823" s="115">
        <v>41849.609722222202</v>
      </c>
      <c r="B823" s="114">
        <v>48.4</v>
      </c>
      <c r="C823" s="114" t="s">
        <v>165</v>
      </c>
    </row>
    <row r="824" spans="1:3" x14ac:dyDescent="0.25">
      <c r="A824" s="115">
        <v>41849.878472222197</v>
      </c>
      <c r="B824" s="114">
        <v>5.4</v>
      </c>
      <c r="C824" s="114" t="s">
        <v>164</v>
      </c>
    </row>
    <row r="825" spans="1:3" x14ac:dyDescent="0.25">
      <c r="A825" s="115">
        <v>41850.123611111099</v>
      </c>
      <c r="B825" s="114">
        <v>48.9</v>
      </c>
      <c r="C825" s="114" t="s">
        <v>165</v>
      </c>
    </row>
    <row r="826" spans="1:3" x14ac:dyDescent="0.25">
      <c r="A826" s="115">
        <v>41850.382638888899</v>
      </c>
      <c r="B826" s="114">
        <v>8.3000000000000007</v>
      </c>
      <c r="C826" s="114" t="s">
        <v>164</v>
      </c>
    </row>
    <row r="827" spans="1:3" x14ac:dyDescent="0.25">
      <c r="A827" s="115">
        <v>41850.632638888899</v>
      </c>
      <c r="B827" s="114">
        <v>48.1</v>
      </c>
      <c r="C827" s="114" t="s">
        <v>165</v>
      </c>
    </row>
    <row r="828" spans="1:3" x14ac:dyDescent="0.25">
      <c r="A828" s="115">
        <v>41850.902777777803</v>
      </c>
      <c r="B828" s="114">
        <v>5.8</v>
      </c>
      <c r="C828" s="114" t="s">
        <v>164</v>
      </c>
    </row>
    <row r="829" spans="1:3" x14ac:dyDescent="0.25">
      <c r="A829" s="115">
        <v>41851.143750000003</v>
      </c>
      <c r="B829" s="114">
        <v>48.2</v>
      </c>
      <c r="C829" s="114" t="s">
        <v>165</v>
      </c>
    </row>
    <row r="830" spans="1:3" x14ac:dyDescent="0.25">
      <c r="A830" s="115">
        <v>41851.402083333298</v>
      </c>
      <c r="B830" s="114">
        <v>8.8000000000000007</v>
      </c>
      <c r="C830" s="114" t="s">
        <v>164</v>
      </c>
    </row>
    <row r="831" spans="1:3" x14ac:dyDescent="0.25">
      <c r="A831" s="115">
        <v>41851.654166666704</v>
      </c>
      <c r="B831" s="114">
        <v>47.2</v>
      </c>
      <c r="C831" s="114" t="s">
        <v>165</v>
      </c>
    </row>
    <row r="832" spans="1:3" x14ac:dyDescent="0.25">
      <c r="A832" s="115">
        <v>41851.923611111102</v>
      </c>
      <c r="B832" s="114">
        <v>6.5</v>
      </c>
      <c r="C832" s="114" t="s">
        <v>164</v>
      </c>
    </row>
    <row r="833" spans="1:3" x14ac:dyDescent="0.25">
      <c r="A833" s="115">
        <v>41852.1652777778</v>
      </c>
      <c r="B833" s="114">
        <v>47.2</v>
      </c>
      <c r="C833" s="114" t="s">
        <v>165</v>
      </c>
    </row>
    <row r="834" spans="1:3" x14ac:dyDescent="0.25">
      <c r="A834" s="115">
        <v>41852.422916666699</v>
      </c>
      <c r="B834" s="114">
        <v>9.3000000000000007</v>
      </c>
      <c r="C834" s="114" t="s">
        <v>164</v>
      </c>
    </row>
    <row r="835" spans="1:3" x14ac:dyDescent="0.25">
      <c r="A835" s="115">
        <v>41852.677777777797</v>
      </c>
      <c r="B835" s="114">
        <v>46.2</v>
      </c>
      <c r="C835" s="114" t="s">
        <v>165</v>
      </c>
    </row>
    <row r="836" spans="1:3" x14ac:dyDescent="0.25">
      <c r="A836" s="115">
        <v>41852.944444444402</v>
      </c>
      <c r="B836" s="114">
        <v>7.2</v>
      </c>
      <c r="C836" s="114" t="s">
        <v>164</v>
      </c>
    </row>
    <row r="837" spans="1:3" x14ac:dyDescent="0.25">
      <c r="A837" s="115">
        <v>41853.186111111099</v>
      </c>
      <c r="B837" s="114">
        <v>46.4</v>
      </c>
      <c r="C837" s="114" t="s">
        <v>165</v>
      </c>
    </row>
    <row r="838" spans="1:3" x14ac:dyDescent="0.25">
      <c r="A838" s="115">
        <v>41853.448611111096</v>
      </c>
      <c r="B838" s="114">
        <v>9.6</v>
      </c>
      <c r="C838" s="114" t="s">
        <v>164</v>
      </c>
    </row>
    <row r="839" spans="1:3" x14ac:dyDescent="0.25">
      <c r="A839" s="115">
        <v>41853.701388888898</v>
      </c>
      <c r="B839" s="114">
        <v>45.5</v>
      </c>
      <c r="C839" s="114" t="s">
        <v>165</v>
      </c>
    </row>
    <row r="840" spans="1:3" x14ac:dyDescent="0.25">
      <c r="A840" s="115">
        <v>41853.964583333298</v>
      </c>
      <c r="B840" s="114">
        <v>7.6</v>
      </c>
      <c r="C840" s="114" t="s">
        <v>164</v>
      </c>
    </row>
    <row r="841" spans="1:3" x14ac:dyDescent="0.25">
      <c r="A841" s="115">
        <v>41854.214583333298</v>
      </c>
      <c r="B841" s="114">
        <v>45.7</v>
      </c>
      <c r="C841" s="114" t="s">
        <v>165</v>
      </c>
    </row>
    <row r="842" spans="1:3" x14ac:dyDescent="0.25">
      <c r="A842" s="115">
        <v>41854.476388888899</v>
      </c>
      <c r="B842" s="114">
        <v>9.8000000000000007</v>
      </c>
      <c r="C842" s="114" t="s">
        <v>164</v>
      </c>
    </row>
    <row r="843" spans="1:3" x14ac:dyDescent="0.25">
      <c r="A843" s="115">
        <v>41854.728472222203</v>
      </c>
      <c r="B843" s="114">
        <v>44.6</v>
      </c>
      <c r="C843" s="114" t="s">
        <v>165</v>
      </c>
    </row>
    <row r="844" spans="1:3" x14ac:dyDescent="0.25">
      <c r="A844" s="115">
        <v>41854.997222222199</v>
      </c>
      <c r="B844" s="114">
        <v>8.1999999999999993</v>
      </c>
      <c r="C844" s="114" t="s">
        <v>164</v>
      </c>
    </row>
    <row r="845" spans="1:3" x14ac:dyDescent="0.25">
      <c r="A845" s="115">
        <v>41855.249305555597</v>
      </c>
      <c r="B845" s="114">
        <v>44.5</v>
      </c>
      <c r="C845" s="114" t="s">
        <v>165</v>
      </c>
    </row>
    <row r="846" spans="1:3" x14ac:dyDescent="0.25">
      <c r="A846" s="115">
        <v>41855.511111111096</v>
      </c>
      <c r="B846" s="114">
        <v>10.3</v>
      </c>
      <c r="C846" s="114" t="s">
        <v>164</v>
      </c>
    </row>
    <row r="847" spans="1:3" x14ac:dyDescent="0.25">
      <c r="A847" s="115">
        <v>41855.770833333299</v>
      </c>
      <c r="B847" s="114">
        <v>43.2</v>
      </c>
      <c r="C847" s="114" t="s">
        <v>165</v>
      </c>
    </row>
    <row r="848" spans="1:3" x14ac:dyDescent="0.25">
      <c r="A848" s="115">
        <v>41856.038888888899</v>
      </c>
      <c r="B848" s="114">
        <v>9.1</v>
      </c>
      <c r="C848" s="114" t="s">
        <v>164</v>
      </c>
    </row>
    <row r="849" spans="1:3" x14ac:dyDescent="0.25">
      <c r="A849" s="115">
        <v>41856.302777777797</v>
      </c>
      <c r="B849" s="114">
        <v>43.3</v>
      </c>
      <c r="C849" s="114" t="s">
        <v>165</v>
      </c>
    </row>
    <row r="850" spans="1:3" x14ac:dyDescent="0.25">
      <c r="A850" s="115">
        <v>41856.554861111101</v>
      </c>
      <c r="B850" s="114">
        <v>11</v>
      </c>
      <c r="C850" s="114" t="s">
        <v>164</v>
      </c>
    </row>
    <row r="851" spans="1:3" x14ac:dyDescent="0.25">
      <c r="A851" s="115">
        <v>41856.826388888898</v>
      </c>
      <c r="B851" s="114">
        <v>42.4</v>
      </c>
      <c r="C851" s="114" t="s">
        <v>165</v>
      </c>
    </row>
    <row r="852" spans="1:3" x14ac:dyDescent="0.25">
      <c r="A852" s="115">
        <v>41857.090972222199</v>
      </c>
      <c r="B852" s="114">
        <v>9.8000000000000007</v>
      </c>
      <c r="C852" s="114" t="s">
        <v>164</v>
      </c>
    </row>
    <row r="853" spans="1:3" x14ac:dyDescent="0.25">
      <c r="A853" s="115">
        <v>41857.354861111096</v>
      </c>
      <c r="B853" s="114">
        <v>43</v>
      </c>
      <c r="C853" s="114" t="s">
        <v>165</v>
      </c>
    </row>
    <row r="854" spans="1:3" x14ac:dyDescent="0.25">
      <c r="A854" s="115">
        <v>41857.614583333299</v>
      </c>
      <c r="B854" s="114">
        <v>10.9</v>
      </c>
      <c r="C854" s="114" t="s">
        <v>164</v>
      </c>
    </row>
    <row r="855" spans="1:3" x14ac:dyDescent="0.25">
      <c r="A855" s="115">
        <v>41857.875694444403</v>
      </c>
      <c r="B855" s="114">
        <v>42.9</v>
      </c>
      <c r="C855" s="114" t="s">
        <v>165</v>
      </c>
    </row>
    <row r="856" spans="1:3" x14ac:dyDescent="0.25">
      <c r="A856" s="115">
        <v>41858.1381944444</v>
      </c>
      <c r="B856" s="114">
        <v>9.6999999999999993</v>
      </c>
      <c r="C856" s="114" t="s">
        <v>164</v>
      </c>
    </row>
    <row r="857" spans="1:3" x14ac:dyDescent="0.25">
      <c r="A857" s="115">
        <v>41858.406944444403</v>
      </c>
      <c r="B857" s="114">
        <v>43.8</v>
      </c>
      <c r="C857" s="114" t="s">
        <v>165</v>
      </c>
    </row>
    <row r="858" spans="1:3" x14ac:dyDescent="0.25">
      <c r="A858" s="115">
        <v>41858.666666666701</v>
      </c>
      <c r="B858" s="114">
        <v>9.6</v>
      </c>
      <c r="C858" s="114" t="s">
        <v>164</v>
      </c>
    </row>
    <row r="859" spans="1:3" x14ac:dyDescent="0.25">
      <c r="A859" s="115">
        <v>41858.9243055556</v>
      </c>
      <c r="B859" s="114">
        <v>44.8</v>
      </c>
      <c r="C859" s="114" t="s">
        <v>165</v>
      </c>
    </row>
    <row r="860" spans="1:3" x14ac:dyDescent="0.25">
      <c r="A860" s="115">
        <v>41859.191666666702</v>
      </c>
      <c r="B860" s="114">
        <v>8.9</v>
      </c>
      <c r="C860" s="114" t="s">
        <v>164</v>
      </c>
    </row>
    <row r="861" spans="1:3" x14ac:dyDescent="0.25">
      <c r="A861" s="115">
        <v>41859.448611111096</v>
      </c>
      <c r="B861" s="114">
        <v>45.7</v>
      </c>
      <c r="C861" s="114" t="s">
        <v>165</v>
      </c>
    </row>
    <row r="862" spans="1:3" x14ac:dyDescent="0.25">
      <c r="A862" s="115">
        <v>41859.711805555598</v>
      </c>
      <c r="B862" s="114">
        <v>7.8</v>
      </c>
      <c r="C862" s="114" t="s">
        <v>164</v>
      </c>
    </row>
    <row r="863" spans="1:3" x14ac:dyDescent="0.25">
      <c r="A863" s="115">
        <v>41859.965972222199</v>
      </c>
      <c r="B863" s="114">
        <v>47.4</v>
      </c>
      <c r="C863" s="114" t="s">
        <v>165</v>
      </c>
    </row>
    <row r="864" spans="1:3" x14ac:dyDescent="0.25">
      <c r="A864" s="115">
        <v>41860.233333333301</v>
      </c>
      <c r="B864" s="114">
        <v>7.8</v>
      </c>
      <c r="C864" s="114" t="s">
        <v>164</v>
      </c>
    </row>
    <row r="865" spans="1:3" x14ac:dyDescent="0.25">
      <c r="A865" s="115">
        <v>41860.484027777798</v>
      </c>
      <c r="B865" s="114">
        <v>47.9</v>
      </c>
      <c r="C865" s="114" t="s">
        <v>165</v>
      </c>
    </row>
    <row r="866" spans="1:3" x14ac:dyDescent="0.25">
      <c r="A866" s="115">
        <v>41860.754166666702</v>
      </c>
      <c r="B866" s="114">
        <v>5.8</v>
      </c>
      <c r="C866" s="114" t="s">
        <v>164</v>
      </c>
    </row>
    <row r="867" spans="1:3" x14ac:dyDescent="0.25">
      <c r="A867" s="115">
        <v>41861</v>
      </c>
      <c r="B867" s="114">
        <v>49.8</v>
      </c>
      <c r="C867" s="114" t="s">
        <v>165</v>
      </c>
    </row>
    <row r="868" spans="1:3" x14ac:dyDescent="0.25">
      <c r="A868" s="115">
        <v>41861.2680555556</v>
      </c>
      <c r="B868" s="114">
        <v>6.9</v>
      </c>
      <c r="C868" s="114" t="s">
        <v>164</v>
      </c>
    </row>
    <row r="869" spans="1:3" x14ac:dyDescent="0.25">
      <c r="A869" s="115">
        <v>41861.5180555556</v>
      </c>
      <c r="B869" s="114">
        <v>49.7</v>
      </c>
      <c r="C869" s="114" t="s">
        <v>165</v>
      </c>
    </row>
    <row r="870" spans="1:3" x14ac:dyDescent="0.25">
      <c r="A870" s="115">
        <v>41861.7902777778</v>
      </c>
      <c r="B870" s="114">
        <v>4</v>
      </c>
      <c r="C870" s="114" t="s">
        <v>164</v>
      </c>
    </row>
    <row r="871" spans="1:3" x14ac:dyDescent="0.25">
      <c r="A871" s="115">
        <v>41862.031944444403</v>
      </c>
      <c r="B871" s="114">
        <v>51.6</v>
      </c>
      <c r="C871" s="114" t="s">
        <v>165</v>
      </c>
    </row>
    <row r="872" spans="1:3" x14ac:dyDescent="0.25">
      <c r="A872" s="115">
        <v>41862.300000000003</v>
      </c>
      <c r="B872" s="114">
        <v>6.3</v>
      </c>
      <c r="C872" s="114" t="s">
        <v>164</v>
      </c>
    </row>
    <row r="873" spans="1:3" x14ac:dyDescent="0.25">
      <c r="A873" s="115">
        <v>41862.548611111102</v>
      </c>
      <c r="B873" s="114">
        <v>51</v>
      </c>
      <c r="C873" s="114" t="s">
        <v>165</v>
      </c>
    </row>
    <row r="874" spans="1:3" x14ac:dyDescent="0.25">
      <c r="A874" s="115">
        <v>41862.823611111096</v>
      </c>
      <c r="B874" s="114">
        <v>2.8</v>
      </c>
      <c r="C874" s="114" t="s">
        <v>164</v>
      </c>
    </row>
    <row r="875" spans="1:3" x14ac:dyDescent="0.25">
      <c r="A875" s="115">
        <v>41863.063194444403</v>
      </c>
      <c r="B875" s="114">
        <v>52.7</v>
      </c>
      <c r="C875" s="114" t="s">
        <v>165</v>
      </c>
    </row>
    <row r="876" spans="1:3" x14ac:dyDescent="0.25">
      <c r="A876" s="115">
        <v>41863.331944444399</v>
      </c>
      <c r="B876" s="114">
        <v>6.1</v>
      </c>
      <c r="C876" s="114" t="s">
        <v>164</v>
      </c>
    </row>
    <row r="877" spans="1:3" x14ac:dyDescent="0.25">
      <c r="A877" s="115">
        <v>41863.579861111102</v>
      </c>
      <c r="B877" s="114">
        <v>51.8</v>
      </c>
      <c r="C877" s="114" t="s">
        <v>165</v>
      </c>
    </row>
    <row r="878" spans="1:3" x14ac:dyDescent="0.25">
      <c r="A878" s="115">
        <v>41863.856249999997</v>
      </c>
      <c r="B878" s="114">
        <v>2</v>
      </c>
      <c r="C878" s="114" t="s">
        <v>164</v>
      </c>
    </row>
    <row r="879" spans="1:3" x14ac:dyDescent="0.25">
      <c r="A879" s="115">
        <v>41864.094444444403</v>
      </c>
      <c r="B879" s="114">
        <v>53</v>
      </c>
      <c r="C879" s="114" t="s">
        <v>165</v>
      </c>
    </row>
    <row r="880" spans="1:3" x14ac:dyDescent="0.25">
      <c r="A880" s="115">
        <v>41864.365277777797</v>
      </c>
      <c r="B880" s="114">
        <v>6.1</v>
      </c>
      <c r="C880" s="114" t="s">
        <v>164</v>
      </c>
    </row>
    <row r="881" spans="1:3" x14ac:dyDescent="0.25">
      <c r="A881" s="115">
        <v>41864.610416666699</v>
      </c>
      <c r="B881" s="114">
        <v>52</v>
      </c>
      <c r="C881" s="114" t="s">
        <v>165</v>
      </c>
    </row>
    <row r="882" spans="1:3" x14ac:dyDescent="0.25">
      <c r="A882" s="115">
        <v>41864.887499999997</v>
      </c>
      <c r="B882" s="114">
        <v>1.9</v>
      </c>
      <c r="C882" s="114" t="s">
        <v>164</v>
      </c>
    </row>
    <row r="883" spans="1:3" x14ac:dyDescent="0.25">
      <c r="A883" s="115">
        <v>41865.125694444403</v>
      </c>
      <c r="B883" s="114">
        <v>52.4</v>
      </c>
      <c r="C883" s="114" t="s">
        <v>165</v>
      </c>
    </row>
    <row r="884" spans="1:3" x14ac:dyDescent="0.25">
      <c r="A884" s="115">
        <v>41865.394444444399</v>
      </c>
      <c r="B884" s="114">
        <v>6.5</v>
      </c>
      <c r="C884" s="114" t="s">
        <v>164</v>
      </c>
    </row>
    <row r="885" spans="1:3" x14ac:dyDescent="0.25">
      <c r="A885" s="115">
        <v>41865.6430555556</v>
      </c>
      <c r="B885" s="114">
        <v>51.6</v>
      </c>
      <c r="C885" s="114" t="s">
        <v>165</v>
      </c>
    </row>
    <row r="886" spans="1:3" x14ac:dyDescent="0.25">
      <c r="A886" s="115">
        <v>41865.918055555601</v>
      </c>
      <c r="B886" s="114">
        <v>2.4</v>
      </c>
      <c r="C886" s="114" t="s">
        <v>164</v>
      </c>
    </row>
    <row r="887" spans="1:3" x14ac:dyDescent="0.25">
      <c r="A887" s="115">
        <v>41866.159027777801</v>
      </c>
      <c r="B887" s="114">
        <v>51.2</v>
      </c>
      <c r="C887" s="114" t="s">
        <v>165</v>
      </c>
    </row>
    <row r="888" spans="1:3" x14ac:dyDescent="0.25">
      <c r="A888" s="115">
        <v>41866.425000000003</v>
      </c>
      <c r="B888" s="114">
        <v>7</v>
      </c>
      <c r="C888" s="114" t="s">
        <v>164</v>
      </c>
    </row>
    <row r="889" spans="1:3" x14ac:dyDescent="0.25">
      <c r="A889" s="115">
        <v>41866.673611111102</v>
      </c>
      <c r="B889" s="114">
        <v>50.5</v>
      </c>
      <c r="C889" s="114" t="s">
        <v>165</v>
      </c>
    </row>
    <row r="890" spans="1:3" x14ac:dyDescent="0.25">
      <c r="A890" s="115">
        <v>41866.947916666701</v>
      </c>
      <c r="B890" s="114">
        <v>3.5</v>
      </c>
      <c r="C890" s="114" t="s">
        <v>164</v>
      </c>
    </row>
    <row r="891" spans="1:3" x14ac:dyDescent="0.25">
      <c r="A891" s="115">
        <v>41867.193749999999</v>
      </c>
      <c r="B891" s="114">
        <v>49.3</v>
      </c>
      <c r="C891" s="114" t="s">
        <v>165</v>
      </c>
    </row>
    <row r="892" spans="1:3" x14ac:dyDescent="0.25">
      <c r="A892" s="115">
        <v>41867.4555555556</v>
      </c>
      <c r="B892" s="114">
        <v>7.8</v>
      </c>
      <c r="C892" s="114" t="s">
        <v>164</v>
      </c>
    </row>
    <row r="893" spans="1:3" x14ac:dyDescent="0.25">
      <c r="A893" s="115">
        <v>41867.709027777797</v>
      </c>
      <c r="B893" s="114">
        <v>48.9</v>
      </c>
      <c r="C893" s="114" t="s">
        <v>165</v>
      </c>
    </row>
    <row r="894" spans="1:3" x14ac:dyDescent="0.25">
      <c r="A894" s="115">
        <v>41867.978472222203</v>
      </c>
      <c r="B894" s="114">
        <v>5.0999999999999996</v>
      </c>
      <c r="C894" s="114" t="s">
        <v>164</v>
      </c>
    </row>
    <row r="895" spans="1:3" x14ac:dyDescent="0.25">
      <c r="A895" s="115">
        <v>41868.233333333301</v>
      </c>
      <c r="B895" s="114">
        <v>46.9</v>
      </c>
      <c r="C895" s="114" t="s">
        <v>165</v>
      </c>
    </row>
    <row r="896" spans="1:3" x14ac:dyDescent="0.25">
      <c r="A896" s="115">
        <v>41868.490277777797</v>
      </c>
      <c r="B896" s="114">
        <v>8.9</v>
      </c>
      <c r="C896" s="114" t="s">
        <v>164</v>
      </c>
    </row>
    <row r="897" spans="1:3" x14ac:dyDescent="0.25">
      <c r="A897" s="115">
        <v>41868.747222222199</v>
      </c>
      <c r="B897" s="114">
        <v>46.6</v>
      </c>
      <c r="C897" s="114" t="s">
        <v>165</v>
      </c>
    </row>
    <row r="898" spans="1:3" x14ac:dyDescent="0.25">
      <c r="A898" s="115">
        <v>41869.013888888898</v>
      </c>
      <c r="B898" s="114">
        <v>7.2</v>
      </c>
      <c r="C898" s="114" t="s">
        <v>164</v>
      </c>
    </row>
    <row r="899" spans="1:3" x14ac:dyDescent="0.25">
      <c r="A899" s="115">
        <v>41869.2722222222</v>
      </c>
      <c r="B899" s="114">
        <v>44.3</v>
      </c>
      <c r="C899" s="114" t="s">
        <v>165</v>
      </c>
    </row>
    <row r="900" spans="1:3" x14ac:dyDescent="0.25">
      <c r="A900" s="115">
        <v>41869.527083333298</v>
      </c>
      <c r="B900" s="114">
        <v>10.3</v>
      </c>
      <c r="C900" s="114" t="s">
        <v>164</v>
      </c>
    </row>
    <row r="901" spans="1:3" x14ac:dyDescent="0.25">
      <c r="A901" s="115">
        <v>41869.791666666701</v>
      </c>
      <c r="B901" s="114">
        <v>44</v>
      </c>
      <c r="C901" s="114" t="s">
        <v>165</v>
      </c>
    </row>
    <row r="902" spans="1:3" x14ac:dyDescent="0.25">
      <c r="A902" s="115">
        <v>41870.051388888904</v>
      </c>
      <c r="B902" s="114">
        <v>9.6</v>
      </c>
      <c r="C902" s="114" t="s">
        <v>164</v>
      </c>
    </row>
    <row r="903" spans="1:3" x14ac:dyDescent="0.25">
      <c r="A903" s="115">
        <v>41870.323611111096</v>
      </c>
      <c r="B903" s="114">
        <v>41.6</v>
      </c>
      <c r="C903" s="114" t="s">
        <v>165</v>
      </c>
    </row>
    <row r="904" spans="1:3" x14ac:dyDescent="0.25">
      <c r="A904" s="115">
        <v>41870.579861111102</v>
      </c>
      <c r="B904" s="114">
        <v>11.6</v>
      </c>
      <c r="C904" s="114" t="s">
        <v>164</v>
      </c>
    </row>
    <row r="905" spans="1:3" x14ac:dyDescent="0.25">
      <c r="A905" s="115">
        <v>41870.84375</v>
      </c>
      <c r="B905" s="114">
        <v>41.8</v>
      </c>
      <c r="C905" s="114" t="s">
        <v>165</v>
      </c>
    </row>
    <row r="906" spans="1:3" x14ac:dyDescent="0.25">
      <c r="A906" s="115">
        <v>41871.1069444444</v>
      </c>
      <c r="B906" s="114">
        <v>11.3</v>
      </c>
      <c r="C906" s="114" t="s">
        <v>164</v>
      </c>
    </row>
    <row r="907" spans="1:3" x14ac:dyDescent="0.25">
      <c r="A907" s="115">
        <v>41871.378472222197</v>
      </c>
      <c r="B907" s="114">
        <v>40.5</v>
      </c>
      <c r="C907" s="114" t="s">
        <v>165</v>
      </c>
    </row>
    <row r="908" spans="1:3" x14ac:dyDescent="0.25">
      <c r="A908" s="115">
        <v>41871.642361111102</v>
      </c>
      <c r="B908" s="114">
        <v>11.7</v>
      </c>
      <c r="C908" s="114" t="s">
        <v>164</v>
      </c>
    </row>
    <row r="909" spans="1:3" x14ac:dyDescent="0.25">
      <c r="A909" s="115">
        <v>41871.904166666704</v>
      </c>
      <c r="B909" s="114">
        <v>41.9</v>
      </c>
      <c r="C909" s="114" t="s">
        <v>165</v>
      </c>
    </row>
    <row r="910" spans="1:3" x14ac:dyDescent="0.25">
      <c r="A910" s="115">
        <v>41872.170138888898</v>
      </c>
      <c r="B910" s="114">
        <v>11.4</v>
      </c>
      <c r="C910" s="114" t="s">
        <v>164</v>
      </c>
    </row>
    <row r="911" spans="1:3" x14ac:dyDescent="0.25">
      <c r="A911" s="115">
        <v>41872.434722222199</v>
      </c>
      <c r="B911" s="114">
        <v>41.9</v>
      </c>
      <c r="C911" s="114" t="s">
        <v>165</v>
      </c>
    </row>
    <row r="912" spans="1:3" x14ac:dyDescent="0.25">
      <c r="A912" s="115">
        <v>41872.698611111096</v>
      </c>
      <c r="B912" s="114">
        <v>10.4</v>
      </c>
      <c r="C912" s="114" t="s">
        <v>164</v>
      </c>
    </row>
    <row r="913" spans="1:3" x14ac:dyDescent="0.25">
      <c r="A913" s="115">
        <v>41872.9506944444</v>
      </c>
      <c r="B913" s="114">
        <v>43.9</v>
      </c>
      <c r="C913" s="114" t="s">
        <v>165</v>
      </c>
    </row>
    <row r="914" spans="1:3" x14ac:dyDescent="0.25">
      <c r="A914" s="115">
        <v>41873.215277777803</v>
      </c>
      <c r="B914" s="114">
        <v>10.6</v>
      </c>
      <c r="C914" s="114" t="s">
        <v>164</v>
      </c>
    </row>
    <row r="915" spans="1:3" x14ac:dyDescent="0.25">
      <c r="A915" s="115">
        <v>41873.471527777801</v>
      </c>
      <c r="B915" s="114">
        <v>44.2</v>
      </c>
      <c r="C915" s="114" t="s">
        <v>165</v>
      </c>
    </row>
    <row r="916" spans="1:3" x14ac:dyDescent="0.25">
      <c r="A916" s="115">
        <v>41873.740277777797</v>
      </c>
      <c r="B916" s="114">
        <v>8.8000000000000007</v>
      </c>
      <c r="C916" s="114" t="s">
        <v>164</v>
      </c>
    </row>
    <row r="917" spans="1:3" x14ac:dyDescent="0.25">
      <c r="A917" s="115">
        <v>41873.989583333299</v>
      </c>
      <c r="B917" s="114">
        <v>46</v>
      </c>
      <c r="C917" s="114" t="s">
        <v>165</v>
      </c>
    </row>
    <row r="918" spans="1:3" x14ac:dyDescent="0.25">
      <c r="A918" s="115">
        <v>41874.246527777803</v>
      </c>
      <c r="B918" s="114">
        <v>10</v>
      </c>
      <c r="C918" s="114" t="s">
        <v>164</v>
      </c>
    </row>
    <row r="919" spans="1:3" x14ac:dyDescent="0.25">
      <c r="A919" s="115">
        <v>41874.505555555603</v>
      </c>
      <c r="B919" s="114">
        <v>46</v>
      </c>
      <c r="C919" s="114" t="s">
        <v>165</v>
      </c>
    </row>
    <row r="920" spans="1:3" x14ac:dyDescent="0.25">
      <c r="A920" s="115">
        <v>41874.767361111102</v>
      </c>
      <c r="B920" s="114">
        <v>7.7</v>
      </c>
      <c r="C920" s="114" t="s">
        <v>164</v>
      </c>
    </row>
    <row r="921" spans="1:3" x14ac:dyDescent="0.25">
      <c r="A921" s="115">
        <v>41875.0180555556</v>
      </c>
      <c r="B921" s="114">
        <v>47.3</v>
      </c>
      <c r="C921" s="114" t="s">
        <v>165</v>
      </c>
    </row>
    <row r="922" spans="1:3" x14ac:dyDescent="0.25">
      <c r="A922" s="115">
        <v>41875.266666666699</v>
      </c>
      <c r="B922" s="114">
        <v>9.6999999999999993</v>
      </c>
      <c r="C922" s="114" t="s">
        <v>164</v>
      </c>
    </row>
    <row r="923" spans="1:3" x14ac:dyDescent="0.25">
      <c r="A923" s="115">
        <v>41875.531944444403</v>
      </c>
      <c r="B923" s="114">
        <v>46.9</v>
      </c>
      <c r="C923" s="114" t="s">
        <v>165</v>
      </c>
    </row>
    <row r="924" spans="1:3" x14ac:dyDescent="0.25">
      <c r="A924" s="115">
        <v>41875.788194444402</v>
      </c>
      <c r="B924" s="114">
        <v>7.2</v>
      </c>
      <c r="C924" s="114" t="s">
        <v>164</v>
      </c>
    </row>
    <row r="925" spans="1:3" x14ac:dyDescent="0.25">
      <c r="A925" s="115">
        <v>41876.040972222203</v>
      </c>
      <c r="B925" s="114">
        <v>48.1</v>
      </c>
      <c r="C925" s="114" t="s">
        <v>165</v>
      </c>
    </row>
    <row r="926" spans="1:3" x14ac:dyDescent="0.25">
      <c r="A926" s="115">
        <v>41876.295833333301</v>
      </c>
      <c r="B926" s="114">
        <v>9.3000000000000007</v>
      </c>
      <c r="C926" s="114" t="s">
        <v>164</v>
      </c>
    </row>
    <row r="927" spans="1:3" x14ac:dyDescent="0.25">
      <c r="A927" s="115">
        <v>41876.5493055556</v>
      </c>
      <c r="B927" s="114">
        <v>47.7</v>
      </c>
      <c r="C927" s="114" t="s">
        <v>165</v>
      </c>
    </row>
    <row r="928" spans="1:3" x14ac:dyDescent="0.25">
      <c r="A928" s="115">
        <v>41876.813888888901</v>
      </c>
      <c r="B928" s="114">
        <v>6.6</v>
      </c>
      <c r="C928" s="114" t="s">
        <v>164</v>
      </c>
    </row>
    <row r="929" spans="1:3" x14ac:dyDescent="0.25">
      <c r="A929" s="115">
        <v>41877.060416666704</v>
      </c>
      <c r="B929" s="114">
        <v>48.8</v>
      </c>
      <c r="C929" s="114" t="s">
        <v>165</v>
      </c>
    </row>
    <row r="930" spans="1:3" x14ac:dyDescent="0.25">
      <c r="A930" s="115">
        <v>41877.316666666702</v>
      </c>
      <c r="B930" s="114">
        <v>8.6999999999999993</v>
      </c>
      <c r="C930" s="114" t="s">
        <v>164</v>
      </c>
    </row>
    <row r="931" spans="1:3" x14ac:dyDescent="0.25">
      <c r="A931" s="115">
        <v>41877.570138888899</v>
      </c>
      <c r="B931" s="114">
        <v>48.6</v>
      </c>
      <c r="C931" s="114" t="s">
        <v>165</v>
      </c>
    </row>
    <row r="932" spans="1:3" x14ac:dyDescent="0.25">
      <c r="A932" s="115">
        <v>41877.837500000001</v>
      </c>
      <c r="B932" s="114">
        <v>6.1</v>
      </c>
      <c r="C932" s="114" t="s">
        <v>164</v>
      </c>
    </row>
    <row r="933" spans="1:3" x14ac:dyDescent="0.25">
      <c r="A933" s="115">
        <v>41878.081250000003</v>
      </c>
      <c r="B933" s="114">
        <v>49.6</v>
      </c>
      <c r="C933" s="114" t="s">
        <v>165</v>
      </c>
    </row>
    <row r="934" spans="1:3" x14ac:dyDescent="0.25">
      <c r="A934" s="115">
        <v>41878.336805555598</v>
      </c>
      <c r="B934" s="114">
        <v>8.1</v>
      </c>
      <c r="C934" s="114" t="s">
        <v>164</v>
      </c>
    </row>
    <row r="935" spans="1:3" x14ac:dyDescent="0.25">
      <c r="A935" s="115">
        <v>41878.590972222199</v>
      </c>
      <c r="B935" s="114">
        <v>49.3</v>
      </c>
      <c r="C935" s="114" t="s">
        <v>165</v>
      </c>
    </row>
    <row r="936" spans="1:3" x14ac:dyDescent="0.25">
      <c r="A936" s="115">
        <v>41878.859722222202</v>
      </c>
      <c r="B936" s="114">
        <v>5.7</v>
      </c>
      <c r="C936" s="114" t="s">
        <v>164</v>
      </c>
    </row>
    <row r="937" spans="1:3" x14ac:dyDescent="0.25">
      <c r="A937" s="115">
        <v>41879.102083333302</v>
      </c>
      <c r="B937" s="114">
        <v>49.9</v>
      </c>
      <c r="C937" s="114" t="s">
        <v>165</v>
      </c>
    </row>
    <row r="938" spans="1:3" x14ac:dyDescent="0.25">
      <c r="A938" s="115">
        <v>41879.365277777797</v>
      </c>
      <c r="B938" s="114">
        <v>7.9</v>
      </c>
      <c r="C938" s="114" t="s">
        <v>164</v>
      </c>
    </row>
    <row r="939" spans="1:3" x14ac:dyDescent="0.25">
      <c r="A939" s="115">
        <v>41879.6118055556</v>
      </c>
      <c r="B939" s="114">
        <v>49.4</v>
      </c>
      <c r="C939" s="114" t="s">
        <v>165</v>
      </c>
    </row>
    <row r="940" spans="1:3" x14ac:dyDescent="0.25">
      <c r="A940" s="115">
        <v>41879.881249999999</v>
      </c>
      <c r="B940" s="114">
        <v>5.9</v>
      </c>
      <c r="C940" s="114" t="s">
        <v>164</v>
      </c>
    </row>
    <row r="941" spans="1:3" x14ac:dyDescent="0.25">
      <c r="A941" s="115">
        <v>41880.122916666704</v>
      </c>
      <c r="B941" s="114">
        <v>49.6</v>
      </c>
      <c r="C941" s="114" t="s">
        <v>165</v>
      </c>
    </row>
    <row r="942" spans="1:3" x14ac:dyDescent="0.25">
      <c r="A942" s="115">
        <v>41880.385416666701</v>
      </c>
      <c r="B942" s="114">
        <v>8.1999999999999993</v>
      </c>
      <c r="C942" s="114" t="s">
        <v>164</v>
      </c>
    </row>
    <row r="943" spans="1:3" x14ac:dyDescent="0.25">
      <c r="A943" s="115">
        <v>41880.633333333302</v>
      </c>
      <c r="B943" s="114">
        <v>48.9</v>
      </c>
      <c r="C943" s="114" t="s">
        <v>165</v>
      </c>
    </row>
    <row r="944" spans="1:3" x14ac:dyDescent="0.25">
      <c r="A944" s="115">
        <v>41880.904166666704</v>
      </c>
      <c r="B944" s="114">
        <v>6.5</v>
      </c>
      <c r="C944" s="114" t="s">
        <v>164</v>
      </c>
    </row>
    <row r="945" spans="1:3" x14ac:dyDescent="0.25">
      <c r="A945" s="115">
        <v>41881.143750000003</v>
      </c>
      <c r="B945" s="114">
        <v>48.8</v>
      </c>
      <c r="C945" s="114" t="s">
        <v>165</v>
      </c>
    </row>
    <row r="946" spans="1:3" x14ac:dyDescent="0.25">
      <c r="A946" s="115">
        <v>41881.406944444403</v>
      </c>
      <c r="B946" s="114">
        <v>8.6999999999999993</v>
      </c>
      <c r="C946" s="114" t="s">
        <v>164</v>
      </c>
    </row>
    <row r="947" spans="1:3" x14ac:dyDescent="0.25">
      <c r="A947" s="115">
        <v>41881.654166666704</v>
      </c>
      <c r="B947" s="114">
        <v>48.2</v>
      </c>
      <c r="C947" s="114" t="s">
        <v>165</v>
      </c>
    </row>
    <row r="948" spans="1:3" x14ac:dyDescent="0.25">
      <c r="A948" s="115">
        <v>41881.927777777797</v>
      </c>
      <c r="B948" s="114">
        <v>7.2</v>
      </c>
      <c r="C948" s="114" t="s">
        <v>164</v>
      </c>
    </row>
    <row r="949" spans="1:3" x14ac:dyDescent="0.25">
      <c r="A949" s="115">
        <v>41882.166666666701</v>
      </c>
      <c r="B949" s="114">
        <v>48.2</v>
      </c>
      <c r="C949" s="114" t="s">
        <v>165</v>
      </c>
    </row>
    <row r="950" spans="1:3" x14ac:dyDescent="0.25">
      <c r="A950" s="115">
        <v>41882.427777777797</v>
      </c>
      <c r="B950" s="114">
        <v>8.9</v>
      </c>
      <c r="C950" s="114" t="s">
        <v>164</v>
      </c>
    </row>
    <row r="951" spans="1:3" x14ac:dyDescent="0.25">
      <c r="A951" s="115">
        <v>41882.677777777797</v>
      </c>
      <c r="B951" s="114">
        <v>47.8</v>
      </c>
      <c r="C951" s="114" t="s">
        <v>165</v>
      </c>
    </row>
    <row r="952" spans="1:3" x14ac:dyDescent="0.25">
      <c r="A952" s="115">
        <v>41882.948611111096</v>
      </c>
      <c r="B952" s="114">
        <v>7.7</v>
      </c>
      <c r="C952" s="114" t="s">
        <v>164</v>
      </c>
    </row>
    <row r="953" spans="1:3" x14ac:dyDescent="0.25">
      <c r="A953" s="115">
        <v>41883.192361111098</v>
      </c>
      <c r="B953" s="114">
        <v>47.4</v>
      </c>
      <c r="C953" s="114" t="s">
        <v>165</v>
      </c>
    </row>
    <row r="954" spans="1:3" x14ac:dyDescent="0.25">
      <c r="A954" s="115">
        <v>41883.456250000003</v>
      </c>
      <c r="B954" s="114">
        <v>9.1</v>
      </c>
      <c r="C954" s="114" t="s">
        <v>164</v>
      </c>
    </row>
    <row r="955" spans="1:3" x14ac:dyDescent="0.25">
      <c r="A955" s="115">
        <v>41883.704861111102</v>
      </c>
      <c r="B955" s="114">
        <v>47</v>
      </c>
      <c r="C955" s="114" t="s">
        <v>165</v>
      </c>
    </row>
    <row r="956" spans="1:3" x14ac:dyDescent="0.25">
      <c r="A956" s="115">
        <v>41883.976388888899</v>
      </c>
      <c r="B956" s="114">
        <v>8.4</v>
      </c>
      <c r="C956" s="114" t="s">
        <v>164</v>
      </c>
    </row>
    <row r="957" spans="1:3" x14ac:dyDescent="0.25">
      <c r="A957" s="115">
        <v>41884.222916666702</v>
      </c>
      <c r="B957" s="114">
        <v>45.8</v>
      </c>
      <c r="C957" s="114" t="s">
        <v>165</v>
      </c>
    </row>
    <row r="958" spans="1:3" x14ac:dyDescent="0.25">
      <c r="A958" s="115">
        <v>41884.490277777797</v>
      </c>
      <c r="B958" s="114">
        <v>9.6999999999999993</v>
      </c>
      <c r="C958" s="114" t="s">
        <v>164</v>
      </c>
    </row>
    <row r="959" spans="1:3" x14ac:dyDescent="0.25">
      <c r="A959" s="115">
        <v>41884.741666666698</v>
      </c>
      <c r="B959" s="114">
        <v>45</v>
      </c>
      <c r="C959" s="114" t="s">
        <v>165</v>
      </c>
    </row>
    <row r="960" spans="1:3" x14ac:dyDescent="0.25">
      <c r="A960" s="115">
        <v>41885.013888888898</v>
      </c>
      <c r="B960" s="114">
        <v>9.6</v>
      </c>
      <c r="C960" s="114" t="s">
        <v>164</v>
      </c>
    </row>
    <row r="961" spans="1:3" x14ac:dyDescent="0.25">
      <c r="A961" s="115">
        <v>41885.270833333299</v>
      </c>
      <c r="B961" s="114">
        <v>43.4</v>
      </c>
      <c r="C961" s="114" t="s">
        <v>165</v>
      </c>
    </row>
    <row r="962" spans="1:3" x14ac:dyDescent="0.25">
      <c r="A962" s="115">
        <v>41885.534722222197</v>
      </c>
      <c r="B962" s="114">
        <v>10.8</v>
      </c>
      <c r="C962" s="114" t="s">
        <v>164</v>
      </c>
    </row>
    <row r="963" spans="1:3" x14ac:dyDescent="0.25">
      <c r="A963" s="115">
        <v>41885.798611111102</v>
      </c>
      <c r="B963" s="114">
        <v>42.8</v>
      </c>
      <c r="C963" s="114" t="s">
        <v>165</v>
      </c>
    </row>
    <row r="964" spans="1:3" x14ac:dyDescent="0.25">
      <c r="A964" s="115">
        <v>41886.061805555597</v>
      </c>
      <c r="B964" s="114">
        <v>11</v>
      </c>
      <c r="C964" s="114" t="s">
        <v>164</v>
      </c>
    </row>
    <row r="965" spans="1:3" x14ac:dyDescent="0.25">
      <c r="A965" s="115">
        <v>41886.329861111102</v>
      </c>
      <c r="B965" s="114">
        <v>41.9</v>
      </c>
      <c r="C965" s="114" t="s">
        <v>165</v>
      </c>
    </row>
    <row r="966" spans="1:3" x14ac:dyDescent="0.25">
      <c r="A966" s="115">
        <v>41886.594444444403</v>
      </c>
      <c r="B966" s="114">
        <v>11.3</v>
      </c>
      <c r="C966" s="114" t="s">
        <v>164</v>
      </c>
    </row>
    <row r="967" spans="1:3" x14ac:dyDescent="0.25">
      <c r="A967" s="115">
        <v>41886.859027777798</v>
      </c>
      <c r="B967" s="114">
        <v>42.5</v>
      </c>
      <c r="C967" s="114" t="s">
        <v>165</v>
      </c>
    </row>
    <row r="968" spans="1:3" x14ac:dyDescent="0.25">
      <c r="A968" s="115">
        <v>41887.122222222199</v>
      </c>
      <c r="B968" s="114">
        <v>11.4</v>
      </c>
      <c r="C968" s="114" t="s">
        <v>164</v>
      </c>
    </row>
    <row r="969" spans="1:3" x14ac:dyDescent="0.25">
      <c r="A969" s="115">
        <v>41887.385416666701</v>
      </c>
      <c r="B969" s="114">
        <v>42.2</v>
      </c>
      <c r="C969" s="114" t="s">
        <v>165</v>
      </c>
    </row>
    <row r="970" spans="1:3" x14ac:dyDescent="0.25">
      <c r="A970" s="115">
        <v>41887.649305555598</v>
      </c>
      <c r="B970" s="114">
        <v>10.3</v>
      </c>
      <c r="C970" s="114" t="s">
        <v>164</v>
      </c>
    </row>
    <row r="971" spans="1:3" x14ac:dyDescent="0.25">
      <c r="A971" s="115">
        <v>41887.909027777801</v>
      </c>
      <c r="B971" s="114">
        <v>44.3</v>
      </c>
      <c r="C971" s="114" t="s">
        <v>165</v>
      </c>
    </row>
    <row r="972" spans="1:3" x14ac:dyDescent="0.25">
      <c r="A972" s="115">
        <v>41888.173611111102</v>
      </c>
      <c r="B972" s="114">
        <v>10.5</v>
      </c>
      <c r="C972" s="114" t="s">
        <v>164</v>
      </c>
    </row>
    <row r="973" spans="1:3" x14ac:dyDescent="0.25">
      <c r="A973" s="115">
        <v>41888.434027777803</v>
      </c>
      <c r="B973" s="114">
        <v>44.4</v>
      </c>
      <c r="C973" s="114" t="s">
        <v>165</v>
      </c>
    </row>
    <row r="974" spans="1:3" x14ac:dyDescent="0.25">
      <c r="A974" s="115">
        <v>41888.7055555556</v>
      </c>
      <c r="B974" s="114">
        <v>8.3000000000000007</v>
      </c>
      <c r="C974" s="114" t="s">
        <v>164</v>
      </c>
    </row>
    <row r="975" spans="1:3" x14ac:dyDescent="0.25">
      <c r="A975" s="115">
        <v>41888.951388888898</v>
      </c>
      <c r="B975" s="114">
        <v>47.2</v>
      </c>
      <c r="C975" s="114" t="s">
        <v>165</v>
      </c>
    </row>
    <row r="976" spans="1:3" x14ac:dyDescent="0.25">
      <c r="A976" s="115">
        <v>41889.21875</v>
      </c>
      <c r="B976" s="114">
        <v>9.1</v>
      </c>
      <c r="C976" s="114" t="s">
        <v>164</v>
      </c>
    </row>
    <row r="977" spans="1:3" x14ac:dyDescent="0.25">
      <c r="A977" s="115">
        <v>41889.470833333296</v>
      </c>
      <c r="B977" s="114">
        <v>47.1</v>
      </c>
      <c r="C977" s="114" t="s">
        <v>165</v>
      </c>
    </row>
    <row r="978" spans="1:3" x14ac:dyDescent="0.25">
      <c r="A978" s="115">
        <v>41889.742361111101</v>
      </c>
      <c r="B978" s="114">
        <v>6</v>
      </c>
      <c r="C978" s="114" t="s">
        <v>164</v>
      </c>
    </row>
    <row r="979" spans="1:3" x14ac:dyDescent="0.25">
      <c r="A979" s="115">
        <v>41889.987500000003</v>
      </c>
      <c r="B979" s="114">
        <v>49.9</v>
      </c>
      <c r="C979" s="114" t="s">
        <v>165</v>
      </c>
    </row>
    <row r="980" spans="1:3" x14ac:dyDescent="0.25">
      <c r="A980" s="115">
        <v>41890.255555555603</v>
      </c>
      <c r="B980" s="114">
        <v>7.8</v>
      </c>
      <c r="C980" s="114" t="s">
        <v>164</v>
      </c>
    </row>
    <row r="981" spans="1:3" x14ac:dyDescent="0.25">
      <c r="A981" s="115">
        <v>41890.504166666702</v>
      </c>
      <c r="B981" s="114">
        <v>49.5</v>
      </c>
      <c r="C981" s="114" t="s">
        <v>165</v>
      </c>
    </row>
    <row r="982" spans="1:3" x14ac:dyDescent="0.25">
      <c r="A982" s="115">
        <v>41890.779166666704</v>
      </c>
      <c r="B982" s="114">
        <v>4.2</v>
      </c>
      <c r="C982" s="114" t="s">
        <v>164</v>
      </c>
    </row>
    <row r="983" spans="1:3" x14ac:dyDescent="0.25">
      <c r="A983" s="115">
        <v>41891.0180555556</v>
      </c>
      <c r="B983" s="114">
        <v>51.8</v>
      </c>
      <c r="C983" s="114" t="s">
        <v>165</v>
      </c>
    </row>
    <row r="984" spans="1:3" x14ac:dyDescent="0.25">
      <c r="A984" s="115">
        <v>41891.288888888899</v>
      </c>
      <c r="B984" s="114">
        <v>7</v>
      </c>
      <c r="C984" s="114" t="s">
        <v>164</v>
      </c>
    </row>
    <row r="985" spans="1:3" x14ac:dyDescent="0.25">
      <c r="A985" s="115">
        <v>41891.534722222197</v>
      </c>
      <c r="B985" s="114">
        <v>51.3</v>
      </c>
      <c r="C985" s="114" t="s">
        <v>165</v>
      </c>
    </row>
    <row r="986" spans="1:3" x14ac:dyDescent="0.25">
      <c r="A986" s="115">
        <v>41891.810416666704</v>
      </c>
      <c r="B986" s="114">
        <v>3</v>
      </c>
      <c r="C986" s="114" t="s">
        <v>164</v>
      </c>
    </row>
    <row r="987" spans="1:3" x14ac:dyDescent="0.25">
      <c r="A987" s="115">
        <v>41892.0493055556</v>
      </c>
      <c r="B987" s="114">
        <v>53</v>
      </c>
      <c r="C987" s="114" t="s">
        <v>165</v>
      </c>
    </row>
    <row r="988" spans="1:3" x14ac:dyDescent="0.25">
      <c r="A988" s="115">
        <v>41892.319444444402</v>
      </c>
      <c r="B988" s="114">
        <v>6.4</v>
      </c>
      <c r="C988" s="114" t="s">
        <v>164</v>
      </c>
    </row>
    <row r="989" spans="1:3" x14ac:dyDescent="0.25">
      <c r="A989" s="115">
        <v>41892.564583333296</v>
      </c>
      <c r="B989" s="114">
        <v>52.5</v>
      </c>
      <c r="C989" s="114" t="s">
        <v>165</v>
      </c>
    </row>
    <row r="990" spans="1:3" x14ac:dyDescent="0.25">
      <c r="A990" s="115">
        <v>41892.839583333298</v>
      </c>
      <c r="B990" s="114">
        <v>2.5</v>
      </c>
      <c r="C990" s="114" t="s">
        <v>164</v>
      </c>
    </row>
    <row r="991" spans="1:3" x14ac:dyDescent="0.25">
      <c r="A991" s="115">
        <v>41893.079861111102</v>
      </c>
      <c r="B991" s="114">
        <v>53.3</v>
      </c>
      <c r="C991" s="114" t="s">
        <v>165</v>
      </c>
    </row>
    <row r="992" spans="1:3" x14ac:dyDescent="0.25">
      <c r="A992" s="115">
        <v>41893.351388888899</v>
      </c>
      <c r="B992" s="114">
        <v>6.3</v>
      </c>
      <c r="C992" s="114" t="s">
        <v>164</v>
      </c>
    </row>
    <row r="993" spans="1:3" x14ac:dyDescent="0.25">
      <c r="A993" s="115">
        <v>41893.594444444403</v>
      </c>
      <c r="B993" s="114">
        <v>53</v>
      </c>
      <c r="C993" s="114" t="s">
        <v>165</v>
      </c>
    </row>
    <row r="994" spans="1:3" x14ac:dyDescent="0.25">
      <c r="A994" s="115">
        <v>41893.871527777803</v>
      </c>
      <c r="B994" s="114">
        <v>2.8</v>
      </c>
      <c r="C994" s="114" t="s">
        <v>164</v>
      </c>
    </row>
    <row r="995" spans="1:3" x14ac:dyDescent="0.25">
      <c r="A995" s="115">
        <v>41894.110416666699</v>
      </c>
      <c r="B995" s="114">
        <v>52.6</v>
      </c>
      <c r="C995" s="114" t="s">
        <v>165</v>
      </c>
    </row>
    <row r="996" spans="1:3" x14ac:dyDescent="0.25">
      <c r="A996" s="115">
        <v>41894.379861111098</v>
      </c>
      <c r="B996" s="114">
        <v>6.4</v>
      </c>
      <c r="C996" s="114" t="s">
        <v>164</v>
      </c>
    </row>
    <row r="997" spans="1:3" x14ac:dyDescent="0.25">
      <c r="A997" s="115">
        <v>41894.624305555597</v>
      </c>
      <c r="B997" s="114">
        <v>52.6</v>
      </c>
      <c r="C997" s="114" t="s">
        <v>165</v>
      </c>
    </row>
    <row r="998" spans="1:3" x14ac:dyDescent="0.25">
      <c r="A998" s="115">
        <v>41894.899305555598</v>
      </c>
      <c r="B998" s="114">
        <v>3.6</v>
      </c>
      <c r="C998" s="114" t="s">
        <v>164</v>
      </c>
    </row>
    <row r="999" spans="1:3" x14ac:dyDescent="0.25">
      <c r="A999" s="115">
        <v>41895.1430555556</v>
      </c>
      <c r="B999" s="114">
        <v>51.1</v>
      </c>
      <c r="C999" s="114" t="s">
        <v>165</v>
      </c>
    </row>
    <row r="1000" spans="1:3" x14ac:dyDescent="0.25">
      <c r="A1000" s="115">
        <v>41895.408333333296</v>
      </c>
      <c r="B1000" s="114">
        <v>6.9</v>
      </c>
      <c r="C1000" s="114" t="s">
        <v>164</v>
      </c>
    </row>
    <row r="1001" spans="1:3" x14ac:dyDescent="0.25">
      <c r="A1001" s="115">
        <v>41895.65625</v>
      </c>
      <c r="B1001" s="114">
        <v>51.4</v>
      </c>
      <c r="C1001" s="114" t="s">
        <v>165</v>
      </c>
    </row>
    <row r="1002" spans="1:3" x14ac:dyDescent="0.25">
      <c r="A1002" s="115">
        <v>41895.9284722222</v>
      </c>
      <c r="B1002" s="114">
        <v>5.0999999999999996</v>
      </c>
      <c r="C1002" s="114" t="s">
        <v>164</v>
      </c>
    </row>
    <row r="1003" spans="1:3" x14ac:dyDescent="0.25">
      <c r="A1003" s="115">
        <v>41896.1743055556</v>
      </c>
      <c r="B1003" s="114">
        <v>48.9</v>
      </c>
      <c r="C1003" s="114" t="s">
        <v>165</v>
      </c>
    </row>
    <row r="1004" spans="1:3" x14ac:dyDescent="0.25">
      <c r="A1004" s="115">
        <v>41896.4375</v>
      </c>
      <c r="B1004" s="114">
        <v>7.8</v>
      </c>
      <c r="C1004" s="114" t="s">
        <v>164</v>
      </c>
    </row>
    <row r="1005" spans="1:3" x14ac:dyDescent="0.25">
      <c r="A1005" s="115">
        <v>41896.686805555597</v>
      </c>
      <c r="B1005" s="114">
        <v>49.4</v>
      </c>
      <c r="C1005" s="114" t="s">
        <v>165</v>
      </c>
    </row>
    <row r="1006" spans="1:3" x14ac:dyDescent="0.25">
      <c r="A1006" s="115">
        <v>41896.956944444399</v>
      </c>
      <c r="B1006" s="114">
        <v>7</v>
      </c>
      <c r="C1006" s="114" t="s">
        <v>164</v>
      </c>
    </row>
    <row r="1007" spans="1:3" x14ac:dyDescent="0.25">
      <c r="A1007" s="115">
        <v>41897.207638888904</v>
      </c>
      <c r="B1007" s="114">
        <v>46.3</v>
      </c>
      <c r="C1007" s="114" t="s">
        <v>165</v>
      </c>
    </row>
    <row r="1008" spans="1:3" x14ac:dyDescent="0.25">
      <c r="A1008" s="115">
        <v>41897.469444444403</v>
      </c>
      <c r="B1008" s="114">
        <v>9</v>
      </c>
      <c r="C1008" s="114" t="s">
        <v>164</v>
      </c>
    </row>
    <row r="1009" spans="1:3" x14ac:dyDescent="0.25">
      <c r="A1009" s="115">
        <v>41897.720833333296</v>
      </c>
      <c r="B1009" s="114">
        <v>46.7</v>
      </c>
      <c r="C1009" s="114" t="s">
        <v>165</v>
      </c>
    </row>
    <row r="1010" spans="1:3" x14ac:dyDescent="0.25">
      <c r="A1010" s="115">
        <v>41897.985416666699</v>
      </c>
      <c r="B1010" s="114">
        <v>9.1999999999999993</v>
      </c>
      <c r="C1010" s="114" t="s">
        <v>164</v>
      </c>
    </row>
    <row r="1011" spans="1:3" x14ac:dyDescent="0.25">
      <c r="A1011" s="115">
        <v>41898.247222222199</v>
      </c>
      <c r="B1011" s="114">
        <v>43.3</v>
      </c>
      <c r="C1011" s="114" t="s">
        <v>165</v>
      </c>
    </row>
    <row r="1012" spans="1:3" x14ac:dyDescent="0.25">
      <c r="A1012" s="115">
        <v>41898.503472222197</v>
      </c>
      <c r="B1012" s="114">
        <v>10.6</v>
      </c>
      <c r="C1012" s="114" t="s">
        <v>164</v>
      </c>
    </row>
    <row r="1013" spans="1:3" x14ac:dyDescent="0.25">
      <c r="A1013" s="115">
        <v>41898.7631944444</v>
      </c>
      <c r="B1013" s="114">
        <v>43.6</v>
      </c>
      <c r="C1013" s="114" t="s">
        <v>165</v>
      </c>
    </row>
    <row r="1014" spans="1:3" x14ac:dyDescent="0.25">
      <c r="A1014" s="115">
        <v>41899.032638888901</v>
      </c>
      <c r="B1014" s="114">
        <v>11.7</v>
      </c>
      <c r="C1014" s="114" t="s">
        <v>164</v>
      </c>
    </row>
    <row r="1015" spans="1:3" x14ac:dyDescent="0.25">
      <c r="A1015" s="115">
        <v>41899.288888888899</v>
      </c>
      <c r="B1015" s="114">
        <v>40.299999999999997</v>
      </c>
      <c r="C1015" s="114" t="s">
        <v>165</v>
      </c>
    </row>
    <row r="1016" spans="1:3" x14ac:dyDescent="0.25">
      <c r="A1016" s="115">
        <v>41899.554861111101</v>
      </c>
      <c r="B1016" s="114">
        <v>12.1</v>
      </c>
      <c r="C1016" s="114" t="s">
        <v>164</v>
      </c>
    </row>
    <row r="1017" spans="1:3" x14ac:dyDescent="0.25">
      <c r="A1017" s="115">
        <v>41899.815277777801</v>
      </c>
      <c r="B1017" s="114">
        <v>40.799999999999997</v>
      </c>
      <c r="C1017" s="114" t="s">
        <v>165</v>
      </c>
    </row>
    <row r="1018" spans="1:3" x14ac:dyDescent="0.25">
      <c r="A1018" s="115">
        <v>41900.079861111102</v>
      </c>
      <c r="B1018" s="114">
        <v>13.4</v>
      </c>
      <c r="C1018" s="114" t="s">
        <v>164</v>
      </c>
    </row>
    <row r="1019" spans="1:3" x14ac:dyDescent="0.25">
      <c r="A1019" s="115">
        <v>41900.357638888898</v>
      </c>
      <c r="B1019" s="114">
        <v>38.5</v>
      </c>
      <c r="C1019" s="114" t="s">
        <v>165</v>
      </c>
    </row>
    <row r="1020" spans="1:3" x14ac:dyDescent="0.25">
      <c r="A1020" s="115">
        <v>41900.614583333299</v>
      </c>
      <c r="B1020" s="114">
        <v>12.5</v>
      </c>
      <c r="C1020" s="114" t="s">
        <v>164</v>
      </c>
    </row>
    <row r="1021" spans="1:3" x14ac:dyDescent="0.25">
      <c r="A1021" s="115">
        <v>41900.885416666701</v>
      </c>
      <c r="B1021" s="114">
        <v>40.5</v>
      </c>
      <c r="C1021" s="114" t="s">
        <v>165</v>
      </c>
    </row>
    <row r="1022" spans="1:3" x14ac:dyDescent="0.25">
      <c r="A1022" s="115">
        <v>41901.145833333299</v>
      </c>
      <c r="B1022" s="114">
        <v>13.4</v>
      </c>
      <c r="C1022" s="114" t="s">
        <v>164</v>
      </c>
    </row>
    <row r="1023" spans="1:3" x14ac:dyDescent="0.25">
      <c r="A1023" s="115">
        <v>41901.413888888899</v>
      </c>
      <c r="B1023" s="114">
        <v>39.9</v>
      </c>
      <c r="C1023" s="114" t="s">
        <v>165</v>
      </c>
    </row>
    <row r="1024" spans="1:3" x14ac:dyDescent="0.25">
      <c r="A1024" s="115">
        <v>41901.6694444444</v>
      </c>
      <c r="B1024" s="114">
        <v>11.5</v>
      </c>
      <c r="C1024" s="114" t="s">
        <v>164</v>
      </c>
    </row>
    <row r="1025" spans="1:3" x14ac:dyDescent="0.25">
      <c r="A1025" s="115">
        <v>41901.934027777803</v>
      </c>
      <c r="B1025" s="114">
        <v>42.7</v>
      </c>
      <c r="C1025" s="114" t="s">
        <v>165</v>
      </c>
    </row>
    <row r="1026" spans="1:3" x14ac:dyDescent="0.25">
      <c r="A1026" s="115">
        <v>41902.198611111096</v>
      </c>
      <c r="B1026" s="114">
        <v>12.3</v>
      </c>
      <c r="C1026" s="114" t="s">
        <v>164</v>
      </c>
    </row>
    <row r="1027" spans="1:3" x14ac:dyDescent="0.25">
      <c r="A1027" s="115">
        <v>41902.4555555556</v>
      </c>
      <c r="B1027" s="114">
        <v>42.7</v>
      </c>
      <c r="C1027" s="114" t="s">
        <v>165</v>
      </c>
    </row>
    <row r="1028" spans="1:3" x14ac:dyDescent="0.25">
      <c r="A1028" s="115">
        <v>41902.719444444403</v>
      </c>
      <c r="B1028" s="114">
        <v>9.6999999999999993</v>
      </c>
      <c r="C1028" s="114" t="s">
        <v>164</v>
      </c>
    </row>
    <row r="1029" spans="1:3" x14ac:dyDescent="0.25">
      <c r="A1029" s="115">
        <v>41902.96875</v>
      </c>
      <c r="B1029" s="114">
        <v>45.2</v>
      </c>
      <c r="C1029" s="114" t="s">
        <v>165</v>
      </c>
    </row>
    <row r="1030" spans="1:3" x14ac:dyDescent="0.25">
      <c r="A1030" s="115">
        <v>41903.224999999999</v>
      </c>
      <c r="B1030" s="114">
        <v>11</v>
      </c>
      <c r="C1030" s="114" t="s">
        <v>164</v>
      </c>
    </row>
    <row r="1031" spans="1:3" x14ac:dyDescent="0.25">
      <c r="A1031" s="115">
        <v>41903.485416666699</v>
      </c>
      <c r="B1031" s="114">
        <v>45</v>
      </c>
      <c r="C1031" s="114" t="s">
        <v>165</v>
      </c>
    </row>
    <row r="1032" spans="1:3" x14ac:dyDescent="0.25">
      <c r="A1032" s="115">
        <v>41903.75</v>
      </c>
      <c r="B1032" s="114">
        <v>8.4</v>
      </c>
      <c r="C1032" s="114" t="s">
        <v>164</v>
      </c>
    </row>
    <row r="1033" spans="1:3" x14ac:dyDescent="0.25">
      <c r="A1033" s="115">
        <v>41903.998611111099</v>
      </c>
      <c r="B1033" s="114">
        <v>47</v>
      </c>
      <c r="C1033" s="114" t="s">
        <v>165</v>
      </c>
    </row>
    <row r="1034" spans="1:3" x14ac:dyDescent="0.25">
      <c r="A1034" s="115">
        <v>41904.254166666702</v>
      </c>
      <c r="B1034" s="114">
        <v>10.199999999999999</v>
      </c>
      <c r="C1034" s="114" t="s">
        <v>164</v>
      </c>
    </row>
    <row r="1035" spans="1:3" x14ac:dyDescent="0.25">
      <c r="A1035" s="115">
        <v>41904.510416666701</v>
      </c>
      <c r="B1035" s="114">
        <v>46.4</v>
      </c>
      <c r="C1035" s="114" t="s">
        <v>165</v>
      </c>
    </row>
    <row r="1036" spans="1:3" x14ac:dyDescent="0.25">
      <c r="A1036" s="115">
        <v>41904.7722222222</v>
      </c>
      <c r="B1036" s="114">
        <v>7.8</v>
      </c>
      <c r="C1036" s="114" t="s">
        <v>164</v>
      </c>
    </row>
    <row r="1037" spans="1:3" x14ac:dyDescent="0.25">
      <c r="A1037" s="115">
        <v>41905.020138888904</v>
      </c>
      <c r="B1037" s="114">
        <v>48</v>
      </c>
      <c r="C1037" s="114" t="s">
        <v>165</v>
      </c>
    </row>
    <row r="1038" spans="1:3" x14ac:dyDescent="0.25">
      <c r="A1038" s="115">
        <v>41905.275000000001</v>
      </c>
      <c r="B1038" s="114">
        <v>9.5</v>
      </c>
      <c r="C1038" s="114" t="s">
        <v>164</v>
      </c>
    </row>
    <row r="1039" spans="1:3" x14ac:dyDescent="0.25">
      <c r="A1039" s="115">
        <v>41905.529166666704</v>
      </c>
      <c r="B1039" s="114">
        <v>47.5</v>
      </c>
      <c r="C1039" s="114" t="s">
        <v>165</v>
      </c>
    </row>
    <row r="1040" spans="1:3" x14ac:dyDescent="0.25">
      <c r="A1040" s="115">
        <v>41905.793055555601</v>
      </c>
      <c r="B1040" s="114">
        <v>7.3</v>
      </c>
      <c r="C1040" s="114" t="s">
        <v>164</v>
      </c>
    </row>
    <row r="1041" spans="1:3" x14ac:dyDescent="0.25">
      <c r="A1041" s="115">
        <v>41906.040972222203</v>
      </c>
      <c r="B1041" s="114">
        <v>49</v>
      </c>
      <c r="C1041" s="114" t="s">
        <v>165</v>
      </c>
    </row>
    <row r="1042" spans="1:3" x14ac:dyDescent="0.25">
      <c r="A1042" s="115">
        <v>41906.295833333301</v>
      </c>
      <c r="B1042" s="114">
        <v>8.6999999999999993</v>
      </c>
      <c r="C1042" s="114" t="s">
        <v>164</v>
      </c>
    </row>
    <row r="1043" spans="1:3" x14ac:dyDescent="0.25">
      <c r="A1043" s="115">
        <v>41906.547222222202</v>
      </c>
      <c r="B1043" s="114">
        <v>48.7</v>
      </c>
      <c r="C1043" s="114" t="s">
        <v>165</v>
      </c>
    </row>
    <row r="1044" spans="1:3" x14ac:dyDescent="0.25">
      <c r="A1044" s="115">
        <v>41906.815972222197</v>
      </c>
      <c r="B1044" s="114">
        <v>6.7</v>
      </c>
      <c r="C1044" s="114" t="s">
        <v>164</v>
      </c>
    </row>
    <row r="1045" spans="1:3" x14ac:dyDescent="0.25">
      <c r="A1045" s="115">
        <v>41907.061111111099</v>
      </c>
      <c r="B1045" s="114">
        <v>50.1</v>
      </c>
      <c r="C1045" s="114" t="s">
        <v>165</v>
      </c>
    </row>
    <row r="1046" spans="1:3" x14ac:dyDescent="0.25">
      <c r="A1046" s="115">
        <v>41907.319444444402</v>
      </c>
      <c r="B1046" s="114">
        <v>7.9</v>
      </c>
      <c r="C1046" s="114" t="s">
        <v>164</v>
      </c>
    </row>
    <row r="1047" spans="1:3" x14ac:dyDescent="0.25">
      <c r="A1047" s="115">
        <v>41907.568749999999</v>
      </c>
      <c r="B1047" s="114">
        <v>49.9</v>
      </c>
      <c r="C1047" s="114" t="s">
        <v>165</v>
      </c>
    </row>
    <row r="1048" spans="1:3" x14ac:dyDescent="0.25">
      <c r="A1048" s="115">
        <v>41907.837500000001</v>
      </c>
      <c r="B1048" s="114">
        <v>6.2</v>
      </c>
      <c r="C1048" s="114" t="s">
        <v>164</v>
      </c>
    </row>
    <row r="1049" spans="1:3" x14ac:dyDescent="0.25">
      <c r="A1049" s="115">
        <v>41908.081250000003</v>
      </c>
      <c r="B1049" s="114">
        <v>50.8</v>
      </c>
      <c r="C1049" s="114" t="s">
        <v>165</v>
      </c>
    </row>
    <row r="1050" spans="1:3" x14ac:dyDescent="0.25">
      <c r="A1050" s="115">
        <v>41908.344444444403</v>
      </c>
      <c r="B1050" s="114">
        <v>7.4</v>
      </c>
      <c r="C1050" s="114" t="s">
        <v>164</v>
      </c>
    </row>
    <row r="1051" spans="1:3" x14ac:dyDescent="0.25">
      <c r="A1051" s="115">
        <v>41908.590972222199</v>
      </c>
      <c r="B1051" s="114">
        <v>50.4</v>
      </c>
      <c r="C1051" s="114" t="s">
        <v>165</v>
      </c>
    </row>
    <row r="1052" spans="1:3" x14ac:dyDescent="0.25">
      <c r="A1052" s="115">
        <v>41908.861111111102</v>
      </c>
      <c r="B1052" s="114">
        <v>6.1</v>
      </c>
      <c r="C1052" s="114" t="s">
        <v>164</v>
      </c>
    </row>
    <row r="1053" spans="1:3" x14ac:dyDescent="0.25">
      <c r="A1053" s="115">
        <v>41909.102083333302</v>
      </c>
      <c r="B1053" s="114">
        <v>50.7</v>
      </c>
      <c r="C1053" s="114" t="s">
        <v>165</v>
      </c>
    </row>
    <row r="1054" spans="1:3" x14ac:dyDescent="0.25">
      <c r="A1054" s="115">
        <v>41909.368055555598</v>
      </c>
      <c r="B1054" s="114">
        <v>7.5</v>
      </c>
      <c r="C1054" s="114" t="s">
        <v>164</v>
      </c>
    </row>
    <row r="1055" spans="1:3" x14ac:dyDescent="0.25">
      <c r="A1055" s="115">
        <v>41909.613194444399</v>
      </c>
      <c r="B1055" s="114">
        <v>50.3</v>
      </c>
      <c r="C1055" s="114" t="s">
        <v>165</v>
      </c>
    </row>
    <row r="1056" spans="1:3" x14ac:dyDescent="0.25">
      <c r="A1056" s="115">
        <v>41909.886111111096</v>
      </c>
      <c r="B1056" s="114">
        <v>6.6</v>
      </c>
      <c r="C1056" s="114" t="s">
        <v>164</v>
      </c>
    </row>
    <row r="1057" spans="1:3" x14ac:dyDescent="0.25">
      <c r="A1057" s="115">
        <v>41910.124305555597</v>
      </c>
      <c r="B1057" s="114">
        <v>50.1</v>
      </c>
      <c r="C1057" s="114" t="s">
        <v>165</v>
      </c>
    </row>
    <row r="1058" spans="1:3" x14ac:dyDescent="0.25">
      <c r="A1058" s="115">
        <v>41910.390277777798</v>
      </c>
      <c r="B1058" s="114">
        <v>7.8</v>
      </c>
      <c r="C1058" s="114" t="s">
        <v>164</v>
      </c>
    </row>
    <row r="1059" spans="1:3" x14ac:dyDescent="0.25">
      <c r="A1059" s="115">
        <v>41910.635416666701</v>
      </c>
      <c r="B1059" s="114">
        <v>49.9</v>
      </c>
      <c r="C1059" s="114" t="s">
        <v>165</v>
      </c>
    </row>
    <row r="1060" spans="1:3" x14ac:dyDescent="0.25">
      <c r="A1060" s="115">
        <v>41910.906944444403</v>
      </c>
      <c r="B1060" s="114">
        <v>7.3</v>
      </c>
      <c r="C1060" s="114" t="s">
        <v>164</v>
      </c>
    </row>
    <row r="1061" spans="1:3" x14ac:dyDescent="0.25">
      <c r="A1061" s="115">
        <v>41911.149305555598</v>
      </c>
      <c r="B1061" s="114">
        <v>49.3</v>
      </c>
      <c r="C1061" s="114" t="s">
        <v>165</v>
      </c>
    </row>
    <row r="1062" spans="1:3" x14ac:dyDescent="0.25">
      <c r="A1062" s="115">
        <v>41911.417361111096</v>
      </c>
      <c r="B1062" s="114">
        <v>8.1999999999999993</v>
      </c>
      <c r="C1062" s="114" t="s">
        <v>164</v>
      </c>
    </row>
    <row r="1063" spans="1:3" x14ac:dyDescent="0.25">
      <c r="A1063" s="115">
        <v>41911.659722222197</v>
      </c>
      <c r="B1063" s="114">
        <v>49.3</v>
      </c>
      <c r="C1063" s="114" t="s">
        <v>165</v>
      </c>
    </row>
    <row r="1064" spans="1:3" x14ac:dyDescent="0.25">
      <c r="A1064" s="115">
        <v>41911.931944444397</v>
      </c>
      <c r="B1064" s="114">
        <v>8</v>
      </c>
      <c r="C1064" s="114" t="s">
        <v>164</v>
      </c>
    </row>
    <row r="1065" spans="1:3" x14ac:dyDescent="0.25">
      <c r="A1065" s="115">
        <v>41912.175694444399</v>
      </c>
      <c r="B1065" s="114">
        <v>48</v>
      </c>
      <c r="C1065" s="114" t="s">
        <v>165</v>
      </c>
    </row>
    <row r="1066" spans="1:3" x14ac:dyDescent="0.25">
      <c r="A1066" s="115">
        <v>41912.445138888899</v>
      </c>
      <c r="B1066" s="114">
        <v>8.5</v>
      </c>
      <c r="C1066" s="114" t="s">
        <v>164</v>
      </c>
    </row>
    <row r="1067" spans="1:3" x14ac:dyDescent="0.25">
      <c r="A1067" s="115">
        <v>41912.689583333296</v>
      </c>
      <c r="B1067" s="114">
        <v>48.1</v>
      </c>
      <c r="C1067" s="114" t="s">
        <v>165</v>
      </c>
    </row>
    <row r="1068" spans="1:3" x14ac:dyDescent="0.25">
      <c r="A1068" s="115">
        <v>41912.962500000001</v>
      </c>
      <c r="B1068" s="114">
        <v>9</v>
      </c>
      <c r="C1068" s="114" t="s">
        <v>164</v>
      </c>
    </row>
    <row r="1069" spans="1:3" x14ac:dyDescent="0.25">
      <c r="A1069" s="115">
        <v>41913.206250000003</v>
      </c>
      <c r="B1069" s="114">
        <v>46</v>
      </c>
      <c r="C1069" s="114" t="s">
        <v>165</v>
      </c>
    </row>
    <row r="1070" spans="1:3" x14ac:dyDescent="0.25">
      <c r="A1070" s="115">
        <v>41913.476388888899</v>
      </c>
      <c r="B1070" s="114">
        <v>9.3000000000000007</v>
      </c>
      <c r="C1070" s="114" t="s">
        <v>164</v>
      </c>
    </row>
    <row r="1071" spans="1:3" x14ac:dyDescent="0.25">
      <c r="A1071" s="115">
        <v>41913.725694444402</v>
      </c>
      <c r="B1071" s="114">
        <v>45.8</v>
      </c>
      <c r="C1071" s="114" t="s">
        <v>165</v>
      </c>
    </row>
    <row r="1072" spans="1:3" x14ac:dyDescent="0.25">
      <c r="A1072" s="115">
        <v>41913.996527777803</v>
      </c>
      <c r="B1072" s="114">
        <v>10.5</v>
      </c>
      <c r="C1072" s="114" t="s">
        <v>164</v>
      </c>
    </row>
    <row r="1073" spans="1:3" x14ac:dyDescent="0.25">
      <c r="A1073" s="115">
        <v>41914.254166666702</v>
      </c>
      <c r="B1073" s="114">
        <v>43.1</v>
      </c>
      <c r="C1073" s="114" t="s">
        <v>165</v>
      </c>
    </row>
    <row r="1074" spans="1:3" x14ac:dyDescent="0.25">
      <c r="A1074" s="115">
        <v>41914.520833333299</v>
      </c>
      <c r="B1074" s="114">
        <v>10.4</v>
      </c>
      <c r="C1074" s="114" t="s">
        <v>164</v>
      </c>
    </row>
    <row r="1075" spans="1:3" x14ac:dyDescent="0.25">
      <c r="A1075" s="115">
        <v>41914.781944444403</v>
      </c>
      <c r="B1075" s="114">
        <v>43.2</v>
      </c>
      <c r="C1075" s="114" t="s">
        <v>165</v>
      </c>
    </row>
    <row r="1076" spans="1:3" x14ac:dyDescent="0.25">
      <c r="A1076" s="115">
        <v>41915.045138888898</v>
      </c>
      <c r="B1076" s="114">
        <v>12.1</v>
      </c>
      <c r="C1076" s="114" t="s">
        <v>164</v>
      </c>
    </row>
    <row r="1077" spans="1:3" x14ac:dyDescent="0.25">
      <c r="A1077" s="115">
        <v>41915.313194444403</v>
      </c>
      <c r="B1077" s="114">
        <v>41.3</v>
      </c>
      <c r="C1077" s="114" t="s">
        <v>165</v>
      </c>
    </row>
    <row r="1078" spans="1:3" x14ac:dyDescent="0.25">
      <c r="A1078" s="115">
        <v>41915.5805555556</v>
      </c>
      <c r="B1078" s="114">
        <v>11</v>
      </c>
      <c r="C1078" s="114" t="s">
        <v>164</v>
      </c>
    </row>
    <row r="1079" spans="1:3" x14ac:dyDescent="0.25">
      <c r="A1079" s="115">
        <v>41915.839583333298</v>
      </c>
      <c r="B1079" s="114">
        <v>42.8</v>
      </c>
      <c r="C1079" s="114" t="s">
        <v>165</v>
      </c>
    </row>
    <row r="1080" spans="1:3" x14ac:dyDescent="0.25">
      <c r="A1080" s="115">
        <v>41916.104166666701</v>
      </c>
      <c r="B1080" s="114">
        <v>12.6</v>
      </c>
      <c r="C1080" s="114" t="s">
        <v>164</v>
      </c>
    </row>
    <row r="1081" spans="1:3" x14ac:dyDescent="0.25">
      <c r="A1081" s="115">
        <v>41916.368055555598</v>
      </c>
      <c r="B1081" s="114">
        <v>41.5</v>
      </c>
      <c r="C1081" s="114" t="s">
        <v>165</v>
      </c>
    </row>
    <row r="1082" spans="1:3" x14ac:dyDescent="0.25">
      <c r="A1082" s="115">
        <v>41916.6340277778</v>
      </c>
      <c r="B1082" s="114">
        <v>10.3</v>
      </c>
      <c r="C1082" s="114" t="s">
        <v>164</v>
      </c>
    </row>
    <row r="1083" spans="1:3" x14ac:dyDescent="0.25">
      <c r="A1083" s="115">
        <v>41916.895833333299</v>
      </c>
      <c r="B1083" s="114">
        <v>44.3</v>
      </c>
      <c r="C1083" s="114" t="s">
        <v>165</v>
      </c>
    </row>
    <row r="1084" spans="1:3" x14ac:dyDescent="0.25">
      <c r="A1084" s="115">
        <v>41917.155555555597</v>
      </c>
      <c r="B1084" s="114">
        <v>11.9</v>
      </c>
      <c r="C1084" s="114" t="s">
        <v>164</v>
      </c>
    </row>
    <row r="1085" spans="1:3" x14ac:dyDescent="0.25">
      <c r="A1085" s="115">
        <v>41917.418055555601</v>
      </c>
      <c r="B1085" s="114">
        <v>43.6</v>
      </c>
      <c r="C1085" s="114" t="s">
        <v>165</v>
      </c>
    </row>
    <row r="1086" spans="1:3" x14ac:dyDescent="0.25">
      <c r="A1086" s="115">
        <v>41917.698611111096</v>
      </c>
      <c r="B1086" s="114">
        <v>8.5</v>
      </c>
      <c r="C1086" s="114" t="s">
        <v>164</v>
      </c>
    </row>
    <row r="1087" spans="1:3" x14ac:dyDescent="0.25">
      <c r="A1087" s="115">
        <v>41917.938194444403</v>
      </c>
      <c r="B1087" s="114">
        <v>47</v>
      </c>
      <c r="C1087" s="114" t="s">
        <v>165</v>
      </c>
    </row>
    <row r="1088" spans="1:3" x14ac:dyDescent="0.25">
      <c r="A1088" s="115">
        <v>41918.212500000001</v>
      </c>
      <c r="B1088" s="114">
        <v>10.3</v>
      </c>
      <c r="C1088" s="114" t="s">
        <v>164</v>
      </c>
    </row>
    <row r="1089" spans="1:3" x14ac:dyDescent="0.25">
      <c r="A1089" s="115">
        <v>41918.456250000003</v>
      </c>
      <c r="B1089" s="114">
        <v>46.4</v>
      </c>
      <c r="C1089" s="114" t="s">
        <v>165</v>
      </c>
    </row>
    <row r="1090" spans="1:3" x14ac:dyDescent="0.25">
      <c r="A1090" s="115">
        <v>41918.735416666699</v>
      </c>
      <c r="B1090" s="114">
        <v>6.3</v>
      </c>
      <c r="C1090" s="114" t="s">
        <v>164</v>
      </c>
    </row>
    <row r="1091" spans="1:3" x14ac:dyDescent="0.25">
      <c r="A1091" s="115">
        <v>41918.976388888899</v>
      </c>
      <c r="B1091" s="114">
        <v>49.5</v>
      </c>
      <c r="C1091" s="114" t="s">
        <v>165</v>
      </c>
    </row>
    <row r="1092" spans="1:3" x14ac:dyDescent="0.25">
      <c r="A1092" s="115">
        <v>41919.244444444397</v>
      </c>
      <c r="B1092" s="114">
        <v>8.6999999999999993</v>
      </c>
      <c r="C1092" s="114" t="s">
        <v>164</v>
      </c>
    </row>
    <row r="1093" spans="1:3" x14ac:dyDescent="0.25">
      <c r="A1093" s="115">
        <v>41919.489583333299</v>
      </c>
      <c r="B1093" s="114">
        <v>49.1</v>
      </c>
      <c r="C1093" s="114" t="s">
        <v>165</v>
      </c>
    </row>
    <row r="1094" spans="1:3" x14ac:dyDescent="0.25">
      <c r="A1094" s="115">
        <v>41919.765277777798</v>
      </c>
      <c r="B1094" s="114">
        <v>4.7</v>
      </c>
      <c r="C1094" s="114" t="s">
        <v>164</v>
      </c>
    </row>
    <row r="1095" spans="1:3" x14ac:dyDescent="0.25">
      <c r="A1095" s="115">
        <v>41920.004166666702</v>
      </c>
      <c r="B1095" s="114">
        <v>51.3</v>
      </c>
      <c r="C1095" s="114" t="s">
        <v>165</v>
      </c>
    </row>
    <row r="1096" spans="1:3" x14ac:dyDescent="0.25">
      <c r="A1096" s="115">
        <v>41920.275000000001</v>
      </c>
      <c r="B1096" s="114">
        <v>7.6</v>
      </c>
      <c r="C1096" s="114" t="s">
        <v>164</v>
      </c>
    </row>
    <row r="1097" spans="1:3" x14ac:dyDescent="0.25">
      <c r="A1097" s="115">
        <v>41920.519444444399</v>
      </c>
      <c r="B1097" s="114">
        <v>51</v>
      </c>
      <c r="C1097" s="114" t="s">
        <v>165</v>
      </c>
    </row>
    <row r="1098" spans="1:3" x14ac:dyDescent="0.25">
      <c r="A1098" s="115">
        <v>41920.796527777798</v>
      </c>
      <c r="B1098" s="114">
        <v>3.8</v>
      </c>
      <c r="C1098" s="114" t="s">
        <v>164</v>
      </c>
    </row>
    <row r="1099" spans="1:3" x14ac:dyDescent="0.25">
      <c r="A1099" s="115">
        <v>41921.036111111098</v>
      </c>
      <c r="B1099" s="114">
        <v>52.3</v>
      </c>
      <c r="C1099" s="114" t="s">
        <v>165</v>
      </c>
    </row>
    <row r="1100" spans="1:3" x14ac:dyDescent="0.25">
      <c r="A1100" s="115">
        <v>41921.3034722222</v>
      </c>
      <c r="B1100" s="114">
        <v>6.7</v>
      </c>
      <c r="C1100" s="114" t="s">
        <v>164</v>
      </c>
    </row>
    <row r="1101" spans="1:3" x14ac:dyDescent="0.25">
      <c r="A1101" s="115">
        <v>41921.550000000003</v>
      </c>
      <c r="B1101" s="114">
        <v>52.3</v>
      </c>
      <c r="C1101" s="114" t="s">
        <v>165</v>
      </c>
    </row>
    <row r="1102" spans="1:3" x14ac:dyDescent="0.25">
      <c r="A1102" s="115">
        <v>41921.824999999997</v>
      </c>
      <c r="B1102" s="114">
        <v>3.6</v>
      </c>
      <c r="C1102" s="114" t="s">
        <v>164</v>
      </c>
    </row>
    <row r="1103" spans="1:3" x14ac:dyDescent="0.25">
      <c r="A1103" s="115">
        <v>41922.065972222197</v>
      </c>
      <c r="B1103" s="114">
        <v>52.6</v>
      </c>
      <c r="C1103" s="114" t="s">
        <v>165</v>
      </c>
    </row>
    <row r="1104" spans="1:3" x14ac:dyDescent="0.25">
      <c r="A1104" s="115">
        <v>41922.335416666698</v>
      </c>
      <c r="B1104" s="114">
        <v>6.2</v>
      </c>
      <c r="C1104" s="114" t="s">
        <v>164</v>
      </c>
    </row>
    <row r="1105" spans="1:3" x14ac:dyDescent="0.25">
      <c r="A1105" s="115">
        <v>41922.578472222202</v>
      </c>
      <c r="B1105" s="114">
        <v>52.9</v>
      </c>
      <c r="C1105" s="114" t="s">
        <v>165</v>
      </c>
    </row>
    <row r="1106" spans="1:3" x14ac:dyDescent="0.25">
      <c r="A1106" s="115">
        <v>41922.854166666701</v>
      </c>
      <c r="B1106" s="114">
        <v>4.0999999999999996</v>
      </c>
      <c r="C1106" s="114" t="s">
        <v>164</v>
      </c>
    </row>
    <row r="1107" spans="1:3" x14ac:dyDescent="0.25">
      <c r="A1107" s="115">
        <v>41923.095833333296</v>
      </c>
      <c r="B1107" s="114">
        <v>51.9</v>
      </c>
      <c r="C1107" s="114" t="s">
        <v>165</v>
      </c>
    </row>
    <row r="1108" spans="1:3" x14ac:dyDescent="0.25">
      <c r="A1108" s="115">
        <v>41923.365277777797</v>
      </c>
      <c r="B1108" s="114">
        <v>6.3</v>
      </c>
      <c r="C1108" s="114" t="s">
        <v>164</v>
      </c>
    </row>
    <row r="1109" spans="1:3" x14ac:dyDescent="0.25">
      <c r="A1109" s="115">
        <v>41923.609027777798</v>
      </c>
      <c r="B1109" s="114">
        <v>52.6</v>
      </c>
      <c r="C1109" s="114" t="s">
        <v>165</v>
      </c>
    </row>
    <row r="1110" spans="1:3" x14ac:dyDescent="0.25">
      <c r="A1110" s="115">
        <v>41923.881944444402</v>
      </c>
      <c r="B1110" s="114">
        <v>5.2</v>
      </c>
      <c r="C1110" s="114" t="s">
        <v>164</v>
      </c>
    </row>
    <row r="1111" spans="1:3" x14ac:dyDescent="0.25">
      <c r="A1111" s="115">
        <v>41924.125694444403</v>
      </c>
      <c r="B1111" s="114">
        <v>50.5</v>
      </c>
      <c r="C1111" s="114" t="s">
        <v>165</v>
      </c>
    </row>
    <row r="1112" spans="1:3" x14ac:dyDescent="0.25">
      <c r="A1112" s="115">
        <v>41924.3930555556</v>
      </c>
      <c r="B1112" s="114">
        <v>6.8</v>
      </c>
      <c r="C1112" s="114" t="s">
        <v>164</v>
      </c>
    </row>
    <row r="1113" spans="1:3" x14ac:dyDescent="0.25">
      <c r="A1113" s="115">
        <v>41924.639583333301</v>
      </c>
      <c r="B1113" s="114">
        <v>51.3</v>
      </c>
      <c r="C1113" s="114" t="s">
        <v>165</v>
      </c>
    </row>
    <row r="1114" spans="1:3" x14ac:dyDescent="0.25">
      <c r="A1114" s="115">
        <v>41924.908333333296</v>
      </c>
      <c r="B1114" s="114">
        <v>6.8</v>
      </c>
      <c r="C1114" s="114" t="s">
        <v>164</v>
      </c>
    </row>
    <row r="1115" spans="1:3" x14ac:dyDescent="0.25">
      <c r="A1115" s="115">
        <v>41925.157638888901</v>
      </c>
      <c r="B1115" s="114">
        <v>48.4</v>
      </c>
      <c r="C1115" s="114" t="s">
        <v>165</v>
      </c>
    </row>
    <row r="1116" spans="1:3" x14ac:dyDescent="0.25">
      <c r="A1116" s="115">
        <v>41925.420138888898</v>
      </c>
      <c r="B1116" s="114">
        <v>7.6</v>
      </c>
      <c r="C1116" s="114" t="s">
        <v>164</v>
      </c>
    </row>
    <row r="1117" spans="1:3" x14ac:dyDescent="0.25">
      <c r="A1117" s="115">
        <v>41925.670833333301</v>
      </c>
      <c r="B1117" s="114">
        <v>49.2</v>
      </c>
      <c r="C1117" s="114" t="s">
        <v>165</v>
      </c>
    </row>
    <row r="1118" spans="1:3" x14ac:dyDescent="0.25">
      <c r="A1118" s="115">
        <v>41925.934027777803</v>
      </c>
      <c r="B1118" s="114">
        <v>8.6999999999999993</v>
      </c>
      <c r="C1118" s="114" t="s">
        <v>164</v>
      </c>
    </row>
    <row r="1119" spans="1:3" x14ac:dyDescent="0.25">
      <c r="A1119" s="115">
        <v>41926.186111111099</v>
      </c>
      <c r="B1119" s="114">
        <v>45.9</v>
      </c>
      <c r="C1119" s="114" t="s">
        <v>165</v>
      </c>
    </row>
    <row r="1120" spans="1:3" x14ac:dyDescent="0.25">
      <c r="A1120" s="115">
        <v>41926.448611111096</v>
      </c>
      <c r="B1120" s="114">
        <v>8.9</v>
      </c>
      <c r="C1120" s="114" t="s">
        <v>164</v>
      </c>
    </row>
    <row r="1121" spans="1:3" x14ac:dyDescent="0.25">
      <c r="A1121" s="115">
        <v>41926.699999999997</v>
      </c>
      <c r="B1121" s="114">
        <v>46.6</v>
      </c>
      <c r="C1121" s="114" t="s">
        <v>165</v>
      </c>
    </row>
    <row r="1122" spans="1:3" x14ac:dyDescent="0.25">
      <c r="A1122" s="115">
        <v>41926.963888888902</v>
      </c>
      <c r="B1122" s="114">
        <v>10.7</v>
      </c>
      <c r="C1122" s="114" t="s">
        <v>164</v>
      </c>
    </row>
    <row r="1123" spans="1:3" x14ac:dyDescent="0.25">
      <c r="A1123" s="115">
        <v>41927.220833333296</v>
      </c>
      <c r="B1123" s="114">
        <v>43.2</v>
      </c>
      <c r="C1123" s="114" t="s">
        <v>165</v>
      </c>
    </row>
    <row r="1124" spans="1:3" x14ac:dyDescent="0.25">
      <c r="A1124" s="115">
        <v>41927.483333333301</v>
      </c>
      <c r="B1124" s="114">
        <v>10.5</v>
      </c>
      <c r="C1124" s="114" t="s">
        <v>164</v>
      </c>
    </row>
    <row r="1125" spans="1:3" x14ac:dyDescent="0.25">
      <c r="A1125" s="115">
        <v>41927.740277777797</v>
      </c>
      <c r="B1125" s="114">
        <v>43.6</v>
      </c>
      <c r="C1125" s="114" t="s">
        <v>165</v>
      </c>
    </row>
    <row r="1126" spans="1:3" x14ac:dyDescent="0.25">
      <c r="A1126" s="115">
        <v>41928</v>
      </c>
      <c r="B1126" s="114">
        <v>12.9</v>
      </c>
      <c r="C1126" s="114" t="s">
        <v>164</v>
      </c>
    </row>
    <row r="1127" spans="1:3" x14ac:dyDescent="0.25">
      <c r="A1127" s="115">
        <v>41928.256249999999</v>
      </c>
      <c r="B1127" s="114">
        <v>40.4</v>
      </c>
      <c r="C1127" s="114" t="s">
        <v>165</v>
      </c>
    </row>
    <row r="1128" spans="1:3" x14ac:dyDescent="0.25">
      <c r="A1128" s="115">
        <v>41928.538194444402</v>
      </c>
      <c r="B1128" s="114">
        <v>12.1</v>
      </c>
      <c r="C1128" s="114" t="s">
        <v>164</v>
      </c>
    </row>
    <row r="1129" spans="1:3" x14ac:dyDescent="0.25">
      <c r="A1129" s="115">
        <v>41928.788194444402</v>
      </c>
      <c r="B1129" s="114">
        <v>40.799999999999997</v>
      </c>
      <c r="C1129" s="114" t="s">
        <v>165</v>
      </c>
    </row>
    <row r="1130" spans="1:3" x14ac:dyDescent="0.25">
      <c r="A1130" s="115">
        <v>41929.052083333299</v>
      </c>
      <c r="B1130" s="114">
        <v>14.6</v>
      </c>
      <c r="C1130" s="114" t="s">
        <v>164</v>
      </c>
    </row>
    <row r="1131" spans="1:3" x14ac:dyDescent="0.25">
      <c r="A1131" s="115">
        <v>41929.305555555598</v>
      </c>
      <c r="B1131" s="114">
        <v>38</v>
      </c>
      <c r="C1131" s="114" t="s">
        <v>165</v>
      </c>
    </row>
    <row r="1132" spans="1:3" x14ac:dyDescent="0.25">
      <c r="A1132" s="115">
        <v>41929.587500000001</v>
      </c>
      <c r="B1132" s="114">
        <v>12.7</v>
      </c>
      <c r="C1132" s="114" t="s">
        <v>164</v>
      </c>
    </row>
    <row r="1133" spans="1:3" x14ac:dyDescent="0.25">
      <c r="A1133" s="115">
        <v>41929.850694444402</v>
      </c>
      <c r="B1133" s="114">
        <v>39.4</v>
      </c>
      <c r="C1133" s="114" t="s">
        <v>165</v>
      </c>
    </row>
    <row r="1134" spans="1:3" x14ac:dyDescent="0.25">
      <c r="A1134" s="115">
        <v>41930.106249999997</v>
      </c>
      <c r="B1134" s="114">
        <v>14.7</v>
      </c>
      <c r="C1134" s="114" t="s">
        <v>164</v>
      </c>
    </row>
    <row r="1135" spans="1:3" x14ac:dyDescent="0.25">
      <c r="A1135" s="115">
        <v>41930.381944444402</v>
      </c>
      <c r="B1135" s="114">
        <v>38.1</v>
      </c>
      <c r="C1135" s="114" t="s">
        <v>165</v>
      </c>
    </row>
    <row r="1136" spans="1:3" x14ac:dyDescent="0.25">
      <c r="A1136" s="115">
        <v>41930.638888888898</v>
      </c>
      <c r="B1136" s="114">
        <v>12.2</v>
      </c>
      <c r="C1136" s="114" t="s">
        <v>164</v>
      </c>
    </row>
    <row r="1137" spans="1:3" x14ac:dyDescent="0.25">
      <c r="A1137" s="115">
        <v>41930.90625</v>
      </c>
      <c r="B1137" s="114">
        <v>41</v>
      </c>
      <c r="C1137" s="114" t="s">
        <v>165</v>
      </c>
    </row>
    <row r="1138" spans="1:3" x14ac:dyDescent="0.25">
      <c r="A1138" s="115">
        <v>41931.15625</v>
      </c>
      <c r="B1138" s="114">
        <v>13.6</v>
      </c>
      <c r="C1138" s="114" t="s">
        <v>164</v>
      </c>
    </row>
    <row r="1139" spans="1:3" x14ac:dyDescent="0.25">
      <c r="A1139" s="115">
        <v>41931.4284722222</v>
      </c>
      <c r="B1139" s="114">
        <v>40.5</v>
      </c>
      <c r="C1139" s="114" t="s">
        <v>165</v>
      </c>
    </row>
    <row r="1140" spans="1:3" x14ac:dyDescent="0.25">
      <c r="A1140" s="115">
        <v>41931.6875</v>
      </c>
      <c r="B1140" s="114">
        <v>10.9</v>
      </c>
      <c r="C1140" s="114" t="s">
        <v>164</v>
      </c>
    </row>
    <row r="1141" spans="1:3" x14ac:dyDescent="0.25">
      <c r="A1141" s="115">
        <v>41931.943749999999</v>
      </c>
      <c r="B1141" s="114">
        <v>43.6</v>
      </c>
      <c r="C1141" s="114" t="s">
        <v>165</v>
      </c>
    </row>
    <row r="1142" spans="1:3" x14ac:dyDescent="0.25">
      <c r="A1142" s="115">
        <v>41932.197916666701</v>
      </c>
      <c r="B1142" s="114">
        <v>12.1</v>
      </c>
      <c r="C1142" s="114" t="s">
        <v>164</v>
      </c>
    </row>
    <row r="1143" spans="1:3" x14ac:dyDescent="0.25">
      <c r="A1143" s="115">
        <v>41932.457638888904</v>
      </c>
      <c r="B1143" s="114">
        <v>43.1</v>
      </c>
      <c r="C1143" s="114" t="s">
        <v>165</v>
      </c>
    </row>
    <row r="1144" spans="1:3" x14ac:dyDescent="0.25">
      <c r="A1144" s="115">
        <v>41932.725694444402</v>
      </c>
      <c r="B1144" s="114">
        <v>9.6</v>
      </c>
      <c r="C1144" s="114" t="s">
        <v>164</v>
      </c>
    </row>
    <row r="1145" spans="1:3" x14ac:dyDescent="0.25">
      <c r="A1145" s="115">
        <v>41932.976388888899</v>
      </c>
      <c r="B1145" s="114">
        <v>45.8</v>
      </c>
      <c r="C1145" s="114" t="s">
        <v>165</v>
      </c>
    </row>
    <row r="1146" spans="1:3" x14ac:dyDescent="0.25">
      <c r="A1146" s="115">
        <v>41933.224999999999</v>
      </c>
      <c r="B1146" s="114">
        <v>10.8</v>
      </c>
      <c r="C1146" s="114" t="s">
        <v>164</v>
      </c>
    </row>
    <row r="1147" spans="1:3" x14ac:dyDescent="0.25">
      <c r="A1147" s="115">
        <v>41933.483333333301</v>
      </c>
      <c r="B1147" s="114">
        <v>45.1</v>
      </c>
      <c r="C1147" s="114" t="s">
        <v>165</v>
      </c>
    </row>
    <row r="1148" spans="1:3" x14ac:dyDescent="0.25">
      <c r="A1148" s="115">
        <v>41933.750694444403</v>
      </c>
      <c r="B1148" s="114">
        <v>8.6999999999999993</v>
      </c>
      <c r="C1148" s="114" t="s">
        <v>164</v>
      </c>
    </row>
    <row r="1149" spans="1:3" x14ac:dyDescent="0.25">
      <c r="A1149" s="115">
        <v>41933.996527777803</v>
      </c>
      <c r="B1149" s="114">
        <v>47.5</v>
      </c>
      <c r="C1149" s="114" t="s">
        <v>165</v>
      </c>
    </row>
    <row r="1150" spans="1:3" x14ac:dyDescent="0.25">
      <c r="A1150" s="115">
        <v>41934.254166666702</v>
      </c>
      <c r="B1150" s="114">
        <v>9.8000000000000007</v>
      </c>
      <c r="C1150" s="114" t="s">
        <v>164</v>
      </c>
    </row>
    <row r="1151" spans="1:3" x14ac:dyDescent="0.25">
      <c r="A1151" s="115">
        <v>41934.503472222197</v>
      </c>
      <c r="B1151" s="114">
        <v>46.8</v>
      </c>
      <c r="C1151" s="114" t="s">
        <v>165</v>
      </c>
    </row>
    <row r="1152" spans="1:3" x14ac:dyDescent="0.25">
      <c r="A1152" s="115">
        <v>41934.769444444399</v>
      </c>
      <c r="B1152" s="114">
        <v>8</v>
      </c>
      <c r="C1152" s="114" t="s">
        <v>164</v>
      </c>
    </row>
    <row r="1153" spans="1:3" x14ac:dyDescent="0.25">
      <c r="A1153" s="115">
        <v>41935.0180555556</v>
      </c>
      <c r="B1153" s="114">
        <v>48.9</v>
      </c>
      <c r="C1153" s="114" t="s">
        <v>165</v>
      </c>
    </row>
    <row r="1154" spans="1:3" x14ac:dyDescent="0.25">
      <c r="A1154" s="115">
        <v>41935.276388888902</v>
      </c>
      <c r="B1154" s="114">
        <v>8.6999999999999993</v>
      </c>
      <c r="C1154" s="114" t="s">
        <v>164</v>
      </c>
    </row>
    <row r="1155" spans="1:3" x14ac:dyDescent="0.25">
      <c r="A1155" s="115">
        <v>41935.524305555598</v>
      </c>
      <c r="B1155" s="114">
        <v>48.6</v>
      </c>
      <c r="C1155" s="114" t="s">
        <v>165</v>
      </c>
    </row>
    <row r="1156" spans="1:3" x14ac:dyDescent="0.25">
      <c r="A1156" s="115">
        <v>41935.788194444402</v>
      </c>
      <c r="B1156" s="114">
        <v>7.3</v>
      </c>
      <c r="C1156" s="114" t="s">
        <v>164</v>
      </c>
    </row>
    <row r="1157" spans="1:3" x14ac:dyDescent="0.25">
      <c r="A1157" s="115">
        <v>41936.038888888899</v>
      </c>
      <c r="B1157" s="114">
        <v>50.3</v>
      </c>
      <c r="C1157" s="114" t="s">
        <v>165</v>
      </c>
    </row>
    <row r="1158" spans="1:3" x14ac:dyDescent="0.25">
      <c r="A1158" s="115">
        <v>41936.297916666699</v>
      </c>
      <c r="B1158" s="114">
        <v>7.7</v>
      </c>
      <c r="C1158" s="114" t="s">
        <v>164</v>
      </c>
    </row>
    <row r="1159" spans="1:3" x14ac:dyDescent="0.25">
      <c r="A1159" s="115">
        <v>41936.547222222202</v>
      </c>
      <c r="B1159" s="114">
        <v>50.1</v>
      </c>
      <c r="C1159" s="114" t="s">
        <v>165</v>
      </c>
    </row>
    <row r="1160" spans="1:3" x14ac:dyDescent="0.25">
      <c r="A1160" s="115">
        <v>41936.815972222197</v>
      </c>
      <c r="B1160" s="114">
        <v>6.6</v>
      </c>
      <c r="C1160" s="114" t="s">
        <v>164</v>
      </c>
    </row>
    <row r="1161" spans="1:3" x14ac:dyDescent="0.25">
      <c r="A1161" s="115">
        <v>41937.059722222199</v>
      </c>
      <c r="B1161" s="114">
        <v>51.2</v>
      </c>
      <c r="C1161" s="114" t="s">
        <v>165</v>
      </c>
    </row>
    <row r="1162" spans="1:3" x14ac:dyDescent="0.25">
      <c r="A1162" s="115">
        <v>41937.327083333301</v>
      </c>
      <c r="B1162" s="114">
        <v>7</v>
      </c>
      <c r="C1162" s="114" t="s">
        <v>164</v>
      </c>
    </row>
    <row r="1163" spans="1:3" x14ac:dyDescent="0.25">
      <c r="A1163" s="115">
        <v>41937.5715277778</v>
      </c>
      <c r="B1163" s="114">
        <v>51</v>
      </c>
      <c r="C1163" s="114" t="s">
        <v>165</v>
      </c>
    </row>
    <row r="1164" spans="1:3" x14ac:dyDescent="0.25">
      <c r="A1164" s="115">
        <v>41937.840277777803</v>
      </c>
      <c r="B1164" s="114">
        <v>6.3</v>
      </c>
      <c r="C1164" s="114" t="s">
        <v>164</v>
      </c>
    </row>
    <row r="1165" spans="1:3" x14ac:dyDescent="0.25">
      <c r="A1165" s="115">
        <v>41938.085416666698</v>
      </c>
      <c r="B1165" s="114">
        <v>51.3</v>
      </c>
      <c r="C1165" s="114" t="s">
        <v>165</v>
      </c>
    </row>
    <row r="1166" spans="1:3" x14ac:dyDescent="0.25">
      <c r="A1166" s="115">
        <v>41938.3527777778</v>
      </c>
      <c r="B1166" s="114">
        <v>6.7</v>
      </c>
      <c r="C1166" s="114" t="s">
        <v>164</v>
      </c>
    </row>
    <row r="1167" spans="1:3" x14ac:dyDescent="0.25">
      <c r="A1167" s="115">
        <v>41938.595833333296</v>
      </c>
      <c r="B1167" s="114">
        <v>51.2</v>
      </c>
      <c r="C1167" s="114" t="s">
        <v>165</v>
      </c>
    </row>
    <row r="1168" spans="1:3" x14ac:dyDescent="0.25">
      <c r="A1168" s="115">
        <v>41938.866666666698</v>
      </c>
      <c r="B1168" s="114">
        <v>6.6</v>
      </c>
      <c r="C1168" s="114" t="s">
        <v>164</v>
      </c>
    </row>
    <row r="1169" spans="1:3" x14ac:dyDescent="0.25">
      <c r="A1169" s="115">
        <v>41939.108333333301</v>
      </c>
      <c r="B1169" s="114">
        <v>50.7</v>
      </c>
      <c r="C1169" s="114" t="s">
        <v>165</v>
      </c>
    </row>
    <row r="1170" spans="1:3" x14ac:dyDescent="0.25">
      <c r="A1170" s="115">
        <v>41939.379861111098</v>
      </c>
      <c r="B1170" s="114">
        <v>6.9</v>
      </c>
      <c r="C1170" s="114" t="s">
        <v>164</v>
      </c>
    </row>
    <row r="1171" spans="1:3" x14ac:dyDescent="0.25">
      <c r="A1171" s="115">
        <v>41939.621527777803</v>
      </c>
      <c r="B1171" s="114">
        <v>50.9</v>
      </c>
      <c r="C1171" s="114" t="s">
        <v>165</v>
      </c>
    </row>
    <row r="1172" spans="1:3" x14ac:dyDescent="0.25">
      <c r="A1172" s="115">
        <v>41939.895138888904</v>
      </c>
      <c r="B1172" s="114">
        <v>7.3</v>
      </c>
      <c r="C1172" s="114" t="s">
        <v>164</v>
      </c>
    </row>
    <row r="1173" spans="1:3" x14ac:dyDescent="0.25">
      <c r="A1173" s="115">
        <v>41940.136111111096</v>
      </c>
      <c r="B1173" s="114">
        <v>49.6</v>
      </c>
      <c r="C1173" s="114" t="s">
        <v>165</v>
      </c>
    </row>
    <row r="1174" spans="1:3" x14ac:dyDescent="0.25">
      <c r="A1174" s="115">
        <v>41940.406944444403</v>
      </c>
      <c r="B1174" s="114">
        <v>7.2</v>
      </c>
      <c r="C1174" s="114" t="s">
        <v>164</v>
      </c>
    </row>
    <row r="1175" spans="1:3" x14ac:dyDescent="0.25">
      <c r="A1175" s="115">
        <v>41940.647916666698</v>
      </c>
      <c r="B1175" s="114">
        <v>50</v>
      </c>
      <c r="C1175" s="114" t="s">
        <v>165</v>
      </c>
    </row>
    <row r="1176" spans="1:3" x14ac:dyDescent="0.25">
      <c r="A1176" s="115">
        <v>41940.922916666699</v>
      </c>
      <c r="B1176" s="114">
        <v>8.1999999999999993</v>
      </c>
      <c r="C1176" s="114" t="s">
        <v>164</v>
      </c>
    </row>
    <row r="1177" spans="1:3" x14ac:dyDescent="0.25">
      <c r="A1177" s="115">
        <v>41941.163888888899</v>
      </c>
      <c r="B1177" s="114">
        <v>47.9</v>
      </c>
      <c r="C1177" s="114" t="s">
        <v>165</v>
      </c>
    </row>
    <row r="1178" spans="1:3" x14ac:dyDescent="0.25">
      <c r="A1178" s="115">
        <v>41941.4375</v>
      </c>
      <c r="B1178" s="114">
        <v>7.6</v>
      </c>
      <c r="C1178" s="114" t="s">
        <v>164</v>
      </c>
    </row>
    <row r="1179" spans="1:3" x14ac:dyDescent="0.25">
      <c r="A1179" s="115">
        <v>41941.6784722222</v>
      </c>
      <c r="B1179" s="114">
        <v>48.5</v>
      </c>
      <c r="C1179" s="114" t="s">
        <v>165</v>
      </c>
    </row>
    <row r="1180" spans="1:3" x14ac:dyDescent="0.25">
      <c r="A1180" s="115">
        <v>41941.951388888898</v>
      </c>
      <c r="B1180" s="114">
        <v>9.4</v>
      </c>
      <c r="C1180" s="114" t="s">
        <v>164</v>
      </c>
    </row>
    <row r="1181" spans="1:3" x14ac:dyDescent="0.25">
      <c r="A1181" s="115">
        <v>41942.197916666701</v>
      </c>
      <c r="B1181" s="114">
        <v>45.8</v>
      </c>
      <c r="C1181" s="114" t="s">
        <v>165</v>
      </c>
    </row>
    <row r="1182" spans="1:3" x14ac:dyDescent="0.25">
      <c r="A1182" s="115">
        <v>41942.472222222197</v>
      </c>
      <c r="B1182" s="114">
        <v>8.3000000000000007</v>
      </c>
      <c r="C1182" s="114" t="s">
        <v>164</v>
      </c>
    </row>
    <row r="1183" spans="1:3" x14ac:dyDescent="0.25">
      <c r="A1183" s="115">
        <v>41942.719444444403</v>
      </c>
      <c r="B1183" s="114">
        <v>46.2</v>
      </c>
      <c r="C1183" s="114" t="s">
        <v>165</v>
      </c>
    </row>
    <row r="1184" spans="1:3" x14ac:dyDescent="0.25">
      <c r="A1184" s="115">
        <v>41942.989583333299</v>
      </c>
      <c r="B1184" s="114">
        <v>10.9</v>
      </c>
      <c r="C1184" s="114" t="s">
        <v>164</v>
      </c>
    </row>
    <row r="1185" spans="1:3" x14ac:dyDescent="0.25">
      <c r="A1185" s="115">
        <v>41943.242361111101</v>
      </c>
      <c r="B1185" s="114">
        <v>43.2</v>
      </c>
      <c r="C1185" s="114" t="s">
        <v>165</v>
      </c>
    </row>
    <row r="1186" spans="1:3" x14ac:dyDescent="0.25">
      <c r="A1186" s="115">
        <v>41943.5180555556</v>
      </c>
      <c r="B1186" s="114">
        <v>9.3000000000000007</v>
      </c>
      <c r="C1186" s="114" t="s">
        <v>164</v>
      </c>
    </row>
    <row r="1187" spans="1:3" x14ac:dyDescent="0.25">
      <c r="A1187" s="115">
        <v>41943.770138888904</v>
      </c>
      <c r="B1187" s="114">
        <v>44.2</v>
      </c>
      <c r="C1187" s="114" t="s">
        <v>165</v>
      </c>
    </row>
    <row r="1188" spans="1:3" x14ac:dyDescent="0.25">
      <c r="A1188" s="115">
        <v>41944.030555555597</v>
      </c>
      <c r="B1188" s="114">
        <v>12.4</v>
      </c>
      <c r="C1188" s="114" t="s">
        <v>164</v>
      </c>
    </row>
    <row r="1189" spans="1:3" x14ac:dyDescent="0.25">
      <c r="A1189" s="115">
        <v>41944.298611111102</v>
      </c>
      <c r="B1189" s="114">
        <v>41.8</v>
      </c>
      <c r="C1189" s="114" t="s">
        <v>165</v>
      </c>
    </row>
    <row r="1190" spans="1:3" x14ac:dyDescent="0.25">
      <c r="A1190" s="115">
        <v>41944.565972222197</v>
      </c>
      <c r="B1190" s="114">
        <v>9.8000000000000007</v>
      </c>
      <c r="C1190" s="114" t="s">
        <v>164</v>
      </c>
    </row>
    <row r="1191" spans="1:3" x14ac:dyDescent="0.25">
      <c r="A1191" s="115">
        <v>41944.8256944444</v>
      </c>
      <c r="B1191" s="114">
        <v>43.7</v>
      </c>
      <c r="C1191" s="114" t="s">
        <v>165</v>
      </c>
    </row>
    <row r="1192" spans="1:3" x14ac:dyDescent="0.25">
      <c r="A1192" s="115">
        <v>41945.086805555598</v>
      </c>
      <c r="B1192" s="114">
        <v>13</v>
      </c>
      <c r="C1192" s="114" t="s">
        <v>164</v>
      </c>
    </row>
    <row r="1193" spans="1:3" x14ac:dyDescent="0.25">
      <c r="A1193" s="115">
        <v>41945.350694444402</v>
      </c>
      <c r="B1193" s="114">
        <v>41.7</v>
      </c>
      <c r="C1193" s="114" t="s">
        <v>165</v>
      </c>
    </row>
    <row r="1194" spans="1:3" x14ac:dyDescent="0.25">
      <c r="A1194" s="115">
        <v>41945.621527777803</v>
      </c>
      <c r="B1194" s="114">
        <v>9.6</v>
      </c>
      <c r="C1194" s="114" t="s">
        <v>164</v>
      </c>
    </row>
    <row r="1195" spans="1:3" x14ac:dyDescent="0.25">
      <c r="A1195" s="115">
        <v>41945.875694444403</v>
      </c>
      <c r="B1195" s="114">
        <v>44.6</v>
      </c>
      <c r="C1195" s="114" t="s">
        <v>165</v>
      </c>
    </row>
    <row r="1196" spans="1:3" x14ac:dyDescent="0.25">
      <c r="A1196" s="115">
        <v>41946.145833333299</v>
      </c>
      <c r="B1196" s="114">
        <v>12.5</v>
      </c>
      <c r="C1196" s="114" t="s">
        <v>164</v>
      </c>
    </row>
    <row r="1197" spans="1:3" x14ac:dyDescent="0.25">
      <c r="A1197" s="115">
        <v>41946.399305555598</v>
      </c>
      <c r="B1197" s="114">
        <v>43.3</v>
      </c>
      <c r="C1197" s="114" t="s">
        <v>165</v>
      </c>
    </row>
    <row r="1198" spans="1:3" x14ac:dyDescent="0.25">
      <c r="A1198" s="115">
        <v>41946.681250000001</v>
      </c>
      <c r="B1198" s="114">
        <v>8.4</v>
      </c>
      <c r="C1198" s="114" t="s">
        <v>164</v>
      </c>
    </row>
    <row r="1199" spans="1:3" x14ac:dyDescent="0.25">
      <c r="A1199" s="115">
        <v>41946.922916666699</v>
      </c>
      <c r="B1199" s="114">
        <v>46.5</v>
      </c>
      <c r="C1199" s="114" t="s">
        <v>165</v>
      </c>
    </row>
    <row r="1200" spans="1:3" x14ac:dyDescent="0.25">
      <c r="A1200" s="115">
        <v>41947.194444444402</v>
      </c>
      <c r="B1200" s="114">
        <v>11.1</v>
      </c>
      <c r="C1200" s="114" t="s">
        <v>164</v>
      </c>
    </row>
    <row r="1201" spans="1:3" x14ac:dyDescent="0.25">
      <c r="A1201" s="115">
        <v>41947.438888888901</v>
      </c>
      <c r="B1201" s="114">
        <v>45.7</v>
      </c>
      <c r="C1201" s="114" t="s">
        <v>165</v>
      </c>
    </row>
    <row r="1202" spans="1:3" x14ac:dyDescent="0.25">
      <c r="A1202" s="115">
        <v>41947.71875</v>
      </c>
      <c r="B1202" s="114">
        <v>6.9</v>
      </c>
      <c r="C1202" s="114" t="s">
        <v>164</v>
      </c>
    </row>
    <row r="1203" spans="1:3" x14ac:dyDescent="0.25">
      <c r="A1203" s="115">
        <v>41947.9597222222</v>
      </c>
      <c r="B1203" s="114">
        <v>48.5</v>
      </c>
      <c r="C1203" s="114" t="s">
        <v>165</v>
      </c>
    </row>
    <row r="1204" spans="1:3" x14ac:dyDescent="0.25">
      <c r="A1204" s="115">
        <v>41948.233333333301</v>
      </c>
      <c r="B1204" s="114">
        <v>9.6</v>
      </c>
      <c r="C1204" s="114" t="s">
        <v>164</v>
      </c>
    </row>
    <row r="1205" spans="1:3" x14ac:dyDescent="0.25">
      <c r="A1205" s="115">
        <v>41948.473611111098</v>
      </c>
      <c r="B1205" s="114">
        <v>48</v>
      </c>
      <c r="C1205" s="114" t="s">
        <v>165</v>
      </c>
    </row>
    <row r="1206" spans="1:3" x14ac:dyDescent="0.25">
      <c r="A1206" s="115">
        <v>41948.751388888901</v>
      </c>
      <c r="B1206" s="114">
        <v>5.7</v>
      </c>
      <c r="C1206" s="114" t="s">
        <v>164</v>
      </c>
    </row>
    <row r="1207" spans="1:3" x14ac:dyDescent="0.25">
      <c r="A1207" s="115">
        <v>41948.992361111101</v>
      </c>
      <c r="B1207" s="114">
        <v>50</v>
      </c>
      <c r="C1207" s="114" t="s">
        <v>165</v>
      </c>
    </row>
    <row r="1208" spans="1:3" x14ac:dyDescent="0.25">
      <c r="A1208" s="115">
        <v>41949.261111111096</v>
      </c>
      <c r="B1208" s="114">
        <v>8.1999999999999993</v>
      </c>
      <c r="C1208" s="114" t="s">
        <v>164</v>
      </c>
    </row>
    <row r="1209" spans="1:3" x14ac:dyDescent="0.25">
      <c r="A1209" s="115">
        <v>41949.505555555603</v>
      </c>
      <c r="B1209" s="114">
        <v>49.9</v>
      </c>
      <c r="C1209" s="114" t="s">
        <v>165</v>
      </c>
    </row>
    <row r="1210" spans="1:3" x14ac:dyDescent="0.25">
      <c r="A1210" s="115">
        <v>41949.78125</v>
      </c>
      <c r="B1210" s="114">
        <v>5.2</v>
      </c>
      <c r="C1210" s="114" t="s">
        <v>164</v>
      </c>
    </row>
    <row r="1211" spans="1:3" x14ac:dyDescent="0.25">
      <c r="A1211" s="115">
        <v>41950.022916666698</v>
      </c>
      <c r="B1211" s="114">
        <v>50.8</v>
      </c>
      <c r="C1211" s="114" t="s">
        <v>165</v>
      </c>
    </row>
    <row r="1212" spans="1:3" x14ac:dyDescent="0.25">
      <c r="A1212" s="115">
        <v>41950.293055555601</v>
      </c>
      <c r="B1212" s="114">
        <v>7</v>
      </c>
      <c r="C1212" s="114" t="s">
        <v>164</v>
      </c>
    </row>
    <row r="1213" spans="1:3" x14ac:dyDescent="0.25">
      <c r="A1213" s="115">
        <v>41950.536805555603</v>
      </c>
      <c r="B1213" s="114">
        <v>51.2</v>
      </c>
      <c r="C1213" s="114" t="s">
        <v>165</v>
      </c>
    </row>
    <row r="1214" spans="1:3" x14ac:dyDescent="0.25">
      <c r="A1214" s="115">
        <v>41950.810416666704</v>
      </c>
      <c r="B1214" s="114">
        <v>5.0999999999999996</v>
      </c>
      <c r="C1214" s="114" t="s">
        <v>164</v>
      </c>
    </row>
    <row r="1215" spans="1:3" x14ac:dyDescent="0.25">
      <c r="A1215" s="115">
        <v>41951.052777777797</v>
      </c>
      <c r="B1215" s="114">
        <v>51</v>
      </c>
      <c r="C1215" s="114" t="s">
        <v>165</v>
      </c>
    </row>
    <row r="1216" spans="1:3" x14ac:dyDescent="0.25">
      <c r="A1216" s="115">
        <v>41951.322916666701</v>
      </c>
      <c r="B1216" s="114">
        <v>6.3</v>
      </c>
      <c r="C1216" s="114" t="s">
        <v>164</v>
      </c>
    </row>
    <row r="1217" spans="1:3" x14ac:dyDescent="0.25">
      <c r="A1217" s="115">
        <v>41951.566666666702</v>
      </c>
      <c r="B1217" s="114">
        <v>51.9</v>
      </c>
      <c r="C1217" s="114" t="s">
        <v>165</v>
      </c>
    </row>
    <row r="1218" spans="1:3" x14ac:dyDescent="0.25">
      <c r="A1218" s="115">
        <v>41951.838194444397</v>
      </c>
      <c r="B1218" s="114">
        <v>5.6</v>
      </c>
      <c r="C1218" s="114" t="s">
        <v>164</v>
      </c>
    </row>
    <row r="1219" spans="1:3" x14ac:dyDescent="0.25">
      <c r="A1219" s="115">
        <v>41952.083333333299</v>
      </c>
      <c r="B1219" s="114">
        <v>50.7</v>
      </c>
      <c r="C1219" s="114" t="s">
        <v>165</v>
      </c>
    </row>
    <row r="1220" spans="1:3" x14ac:dyDescent="0.25">
      <c r="A1220" s="115">
        <v>41952.351388888899</v>
      </c>
      <c r="B1220" s="114">
        <v>6.1</v>
      </c>
      <c r="C1220" s="114" t="s">
        <v>164</v>
      </c>
    </row>
    <row r="1221" spans="1:3" x14ac:dyDescent="0.25">
      <c r="A1221" s="115">
        <v>41952.594444444403</v>
      </c>
      <c r="B1221" s="114">
        <v>51.7</v>
      </c>
      <c r="C1221" s="114" t="s">
        <v>165</v>
      </c>
    </row>
    <row r="1222" spans="1:3" x14ac:dyDescent="0.25">
      <c r="A1222" s="115">
        <v>41952.865277777797</v>
      </c>
      <c r="B1222" s="114">
        <v>6.7</v>
      </c>
      <c r="C1222" s="114" t="s">
        <v>164</v>
      </c>
    </row>
    <row r="1223" spans="1:3" x14ac:dyDescent="0.25">
      <c r="A1223" s="115">
        <v>41953.114583333299</v>
      </c>
      <c r="B1223" s="114">
        <v>49.6</v>
      </c>
      <c r="C1223" s="114" t="s">
        <v>165</v>
      </c>
    </row>
    <row r="1224" spans="1:3" x14ac:dyDescent="0.25">
      <c r="A1224" s="115">
        <v>41953.379166666702</v>
      </c>
      <c r="B1224" s="114">
        <v>6.4</v>
      </c>
      <c r="C1224" s="114" t="s">
        <v>164</v>
      </c>
    </row>
    <row r="1225" spans="1:3" x14ac:dyDescent="0.25">
      <c r="A1225" s="115">
        <v>41953.625</v>
      </c>
      <c r="B1225" s="114">
        <v>50.7</v>
      </c>
      <c r="C1225" s="114" t="s">
        <v>165</v>
      </c>
    </row>
    <row r="1226" spans="1:3" x14ac:dyDescent="0.25">
      <c r="A1226" s="115">
        <v>41953.8930555556</v>
      </c>
      <c r="B1226" s="114">
        <v>8.1</v>
      </c>
      <c r="C1226" s="114" t="s">
        <v>164</v>
      </c>
    </row>
    <row r="1227" spans="1:3" x14ac:dyDescent="0.25">
      <c r="A1227" s="115">
        <v>41954.142361111102</v>
      </c>
      <c r="B1227" s="114">
        <v>48</v>
      </c>
      <c r="C1227" s="114" t="s">
        <v>165</v>
      </c>
    </row>
    <row r="1228" spans="1:3" x14ac:dyDescent="0.25">
      <c r="A1228" s="115">
        <v>41954.406944444403</v>
      </c>
      <c r="B1228" s="114">
        <v>7.2</v>
      </c>
      <c r="C1228" s="114" t="s">
        <v>164</v>
      </c>
    </row>
    <row r="1229" spans="1:3" x14ac:dyDescent="0.25">
      <c r="A1229" s="115">
        <v>41954.654166666704</v>
      </c>
      <c r="B1229" s="114">
        <v>49</v>
      </c>
      <c r="C1229" s="114" t="s">
        <v>165</v>
      </c>
    </row>
    <row r="1230" spans="1:3" x14ac:dyDescent="0.25">
      <c r="A1230" s="115">
        <v>41954.916666666701</v>
      </c>
      <c r="B1230" s="114">
        <v>9.6</v>
      </c>
      <c r="C1230" s="114" t="s">
        <v>164</v>
      </c>
    </row>
    <row r="1231" spans="1:3" x14ac:dyDescent="0.25">
      <c r="A1231" s="115">
        <v>41955.170833333301</v>
      </c>
      <c r="B1231" s="114">
        <v>46</v>
      </c>
      <c r="C1231" s="114" t="s">
        <v>165</v>
      </c>
    </row>
    <row r="1232" spans="1:3" x14ac:dyDescent="0.25">
      <c r="A1232" s="115">
        <v>41955.434722222199</v>
      </c>
      <c r="B1232" s="114">
        <v>8.3000000000000007</v>
      </c>
      <c r="C1232" s="114" t="s">
        <v>164</v>
      </c>
    </row>
    <row r="1233" spans="1:3" x14ac:dyDescent="0.25">
      <c r="A1233" s="115">
        <v>41955.685416666704</v>
      </c>
      <c r="B1233" s="114">
        <v>46.8</v>
      </c>
      <c r="C1233" s="114" t="s">
        <v>165</v>
      </c>
    </row>
    <row r="1234" spans="1:3" x14ac:dyDescent="0.25">
      <c r="A1234" s="115">
        <v>41955.943055555603</v>
      </c>
      <c r="B1234" s="114">
        <v>11.2</v>
      </c>
      <c r="C1234" s="114" t="s">
        <v>164</v>
      </c>
    </row>
    <row r="1235" spans="1:3" x14ac:dyDescent="0.25">
      <c r="A1235" s="115">
        <v>41956.201388888898</v>
      </c>
      <c r="B1235" s="114">
        <v>43.9</v>
      </c>
      <c r="C1235" s="114" t="s">
        <v>165</v>
      </c>
    </row>
    <row r="1236" spans="1:3" x14ac:dyDescent="0.25">
      <c r="A1236" s="115">
        <v>41956.465277777803</v>
      </c>
      <c r="B1236" s="114">
        <v>9.6</v>
      </c>
      <c r="C1236" s="114" t="s">
        <v>164</v>
      </c>
    </row>
    <row r="1237" spans="1:3" x14ac:dyDescent="0.25">
      <c r="A1237" s="115">
        <v>41956.71875</v>
      </c>
      <c r="B1237" s="114">
        <v>44.3</v>
      </c>
      <c r="C1237" s="114" t="s">
        <v>165</v>
      </c>
    </row>
    <row r="1238" spans="1:3" x14ac:dyDescent="0.25">
      <c r="A1238" s="115">
        <v>41956.975694444402</v>
      </c>
      <c r="B1238" s="114">
        <v>12.9</v>
      </c>
      <c r="C1238" s="114" t="s">
        <v>164</v>
      </c>
    </row>
    <row r="1239" spans="1:3" x14ac:dyDescent="0.25">
      <c r="A1239" s="115">
        <v>41957.233333333301</v>
      </c>
      <c r="B1239" s="114">
        <v>41.7</v>
      </c>
      <c r="C1239" s="114" t="s">
        <v>165</v>
      </c>
    </row>
    <row r="1240" spans="1:3" x14ac:dyDescent="0.25">
      <c r="A1240" s="115">
        <v>41957.503472222197</v>
      </c>
      <c r="B1240" s="114">
        <v>11.1</v>
      </c>
      <c r="C1240" s="114" t="s">
        <v>164</v>
      </c>
    </row>
    <row r="1241" spans="1:3" x14ac:dyDescent="0.25">
      <c r="A1241" s="115">
        <v>41957.756944444402</v>
      </c>
      <c r="B1241" s="114">
        <v>42</v>
      </c>
      <c r="C1241" s="114" t="s">
        <v>165</v>
      </c>
    </row>
    <row r="1242" spans="1:3" x14ac:dyDescent="0.25">
      <c r="A1242" s="115">
        <v>41958.024305555598</v>
      </c>
      <c r="B1242" s="114">
        <v>14.5</v>
      </c>
      <c r="C1242" s="114" t="s">
        <v>164</v>
      </c>
    </row>
    <row r="1243" spans="1:3" x14ac:dyDescent="0.25">
      <c r="A1243" s="115">
        <v>41958.270833333299</v>
      </c>
      <c r="B1243" s="114">
        <v>39.700000000000003</v>
      </c>
      <c r="C1243" s="114" t="s">
        <v>165</v>
      </c>
    </row>
    <row r="1244" spans="1:3" x14ac:dyDescent="0.25">
      <c r="A1244" s="115">
        <v>41958.552083333299</v>
      </c>
      <c r="B1244" s="114">
        <v>12.1</v>
      </c>
      <c r="C1244" s="114" t="s">
        <v>164</v>
      </c>
    </row>
    <row r="1245" spans="1:3" x14ac:dyDescent="0.25">
      <c r="A1245" s="115">
        <v>41958.802083333299</v>
      </c>
      <c r="B1245" s="114">
        <v>40.200000000000003</v>
      </c>
      <c r="C1245" s="114" t="s">
        <v>165</v>
      </c>
    </row>
    <row r="1246" spans="1:3" x14ac:dyDescent="0.25">
      <c r="A1246" s="115">
        <v>41959.076388888898</v>
      </c>
      <c r="B1246" s="114">
        <v>14.9</v>
      </c>
      <c r="C1246" s="114" t="s">
        <v>164</v>
      </c>
    </row>
    <row r="1247" spans="1:3" x14ac:dyDescent="0.25">
      <c r="A1247" s="115">
        <v>41959.315972222197</v>
      </c>
      <c r="B1247" s="114">
        <v>38.299999999999997</v>
      </c>
      <c r="C1247" s="114" t="s">
        <v>165</v>
      </c>
    </row>
    <row r="1248" spans="1:3" x14ac:dyDescent="0.25">
      <c r="A1248" s="115">
        <v>41959.601388888899</v>
      </c>
      <c r="B1248" s="114">
        <v>12.3</v>
      </c>
      <c r="C1248" s="114" t="s">
        <v>164</v>
      </c>
    </row>
    <row r="1249" spans="1:3" x14ac:dyDescent="0.25">
      <c r="A1249" s="115">
        <v>41959.858333333301</v>
      </c>
      <c r="B1249" s="114">
        <v>39.9</v>
      </c>
      <c r="C1249" s="114" t="s">
        <v>165</v>
      </c>
    </row>
    <row r="1250" spans="1:3" x14ac:dyDescent="0.25">
      <c r="A1250" s="115">
        <v>41960.122222222199</v>
      </c>
      <c r="B1250" s="114">
        <v>14.3</v>
      </c>
      <c r="C1250" s="114" t="s">
        <v>164</v>
      </c>
    </row>
    <row r="1251" spans="1:3" x14ac:dyDescent="0.25">
      <c r="A1251" s="115">
        <v>41960.378472222197</v>
      </c>
      <c r="B1251" s="114">
        <v>38.799999999999997</v>
      </c>
      <c r="C1251" s="114" t="s">
        <v>165</v>
      </c>
    </row>
    <row r="1252" spans="1:3" x14ac:dyDescent="0.25">
      <c r="A1252" s="115">
        <v>41960.645833333299</v>
      </c>
      <c r="B1252" s="114">
        <v>11.7</v>
      </c>
      <c r="C1252" s="114" t="s">
        <v>164</v>
      </c>
    </row>
    <row r="1253" spans="1:3" x14ac:dyDescent="0.25">
      <c r="A1253" s="115">
        <v>41960.906944444403</v>
      </c>
      <c r="B1253" s="114">
        <v>41.7</v>
      </c>
      <c r="C1253" s="114" t="s">
        <v>165</v>
      </c>
    </row>
    <row r="1254" spans="1:3" x14ac:dyDescent="0.25">
      <c r="A1254" s="115">
        <v>41961.159027777801</v>
      </c>
      <c r="B1254" s="114">
        <v>13</v>
      </c>
      <c r="C1254" s="114" t="s">
        <v>164</v>
      </c>
    </row>
    <row r="1255" spans="1:3" x14ac:dyDescent="0.25">
      <c r="A1255" s="115">
        <v>41961.420138888898</v>
      </c>
      <c r="B1255" s="114">
        <v>41</v>
      </c>
      <c r="C1255" s="114" t="s">
        <v>165</v>
      </c>
    </row>
    <row r="1256" spans="1:3" x14ac:dyDescent="0.25">
      <c r="A1256" s="115">
        <v>41961.691666666702</v>
      </c>
      <c r="B1256" s="114">
        <v>10.8</v>
      </c>
      <c r="C1256" s="114" t="s">
        <v>164</v>
      </c>
    </row>
    <row r="1257" spans="1:3" x14ac:dyDescent="0.25">
      <c r="A1257" s="115">
        <v>41961.941666666702</v>
      </c>
      <c r="B1257" s="114">
        <v>44.1</v>
      </c>
      <c r="C1257" s="114" t="s">
        <v>165</v>
      </c>
    </row>
    <row r="1258" spans="1:3" x14ac:dyDescent="0.25">
      <c r="A1258" s="115">
        <v>41962.197916666701</v>
      </c>
      <c r="B1258" s="114">
        <v>11.6</v>
      </c>
      <c r="C1258" s="114" t="s">
        <v>164</v>
      </c>
    </row>
    <row r="1259" spans="1:3" x14ac:dyDescent="0.25">
      <c r="A1259" s="115">
        <v>41962.4506944444</v>
      </c>
      <c r="B1259" s="114">
        <v>43.5</v>
      </c>
      <c r="C1259" s="114" t="s">
        <v>165</v>
      </c>
    </row>
    <row r="1260" spans="1:3" x14ac:dyDescent="0.25">
      <c r="A1260" s="115">
        <v>41962.71875</v>
      </c>
      <c r="B1260" s="114">
        <v>9.6999999999999993</v>
      </c>
      <c r="C1260" s="114" t="s">
        <v>164</v>
      </c>
    </row>
    <row r="1261" spans="1:3" x14ac:dyDescent="0.25">
      <c r="A1261" s="115">
        <v>41962.969444444403</v>
      </c>
      <c r="B1261" s="114">
        <v>46.4</v>
      </c>
      <c r="C1261" s="114" t="s">
        <v>165</v>
      </c>
    </row>
    <row r="1262" spans="1:3" x14ac:dyDescent="0.25">
      <c r="A1262" s="115">
        <v>41963.226388888899</v>
      </c>
      <c r="B1262" s="114">
        <v>10.3</v>
      </c>
      <c r="C1262" s="114" t="s">
        <v>164</v>
      </c>
    </row>
    <row r="1263" spans="1:3" x14ac:dyDescent="0.25">
      <c r="A1263" s="115">
        <v>41963.478472222203</v>
      </c>
      <c r="B1263" s="114">
        <v>45.8</v>
      </c>
      <c r="C1263" s="114" t="s">
        <v>165</v>
      </c>
    </row>
    <row r="1264" spans="1:3" x14ac:dyDescent="0.25">
      <c r="A1264" s="115">
        <v>41963.739583333299</v>
      </c>
      <c r="B1264" s="114">
        <v>8.6999999999999993</v>
      </c>
      <c r="C1264" s="114" t="s">
        <v>164</v>
      </c>
    </row>
    <row r="1265" spans="1:3" x14ac:dyDescent="0.25">
      <c r="A1265" s="115">
        <v>41963.994444444397</v>
      </c>
      <c r="B1265" s="114">
        <v>48.4</v>
      </c>
      <c r="C1265" s="114" t="s">
        <v>165</v>
      </c>
    </row>
    <row r="1266" spans="1:3" x14ac:dyDescent="0.25">
      <c r="A1266" s="115">
        <v>41964.254166666702</v>
      </c>
      <c r="B1266" s="114">
        <v>8.9</v>
      </c>
      <c r="C1266" s="114" t="s">
        <v>164</v>
      </c>
    </row>
    <row r="1267" spans="1:3" x14ac:dyDescent="0.25">
      <c r="A1267" s="115">
        <v>41964.504166666702</v>
      </c>
      <c r="B1267" s="114">
        <v>47.9</v>
      </c>
      <c r="C1267" s="114" t="s">
        <v>165</v>
      </c>
    </row>
    <row r="1268" spans="1:3" x14ac:dyDescent="0.25">
      <c r="A1268" s="115">
        <v>41964.767361111102</v>
      </c>
      <c r="B1268" s="114">
        <v>7.7</v>
      </c>
      <c r="C1268" s="114" t="s">
        <v>164</v>
      </c>
    </row>
    <row r="1269" spans="1:3" x14ac:dyDescent="0.25">
      <c r="A1269" s="115">
        <v>41965.017361111102</v>
      </c>
      <c r="B1269" s="114">
        <v>50</v>
      </c>
      <c r="C1269" s="114" t="s">
        <v>165</v>
      </c>
    </row>
    <row r="1270" spans="1:3" x14ac:dyDescent="0.25">
      <c r="A1270" s="115">
        <v>41965.279166666704</v>
      </c>
      <c r="B1270" s="114">
        <v>7.6</v>
      </c>
      <c r="C1270" s="114" t="s">
        <v>164</v>
      </c>
    </row>
    <row r="1271" spans="1:3" x14ac:dyDescent="0.25">
      <c r="A1271" s="115">
        <v>41965.528472222199</v>
      </c>
      <c r="B1271" s="114">
        <v>49.7</v>
      </c>
      <c r="C1271" s="114" t="s">
        <v>165</v>
      </c>
    </row>
    <row r="1272" spans="1:3" x14ac:dyDescent="0.25">
      <c r="A1272" s="115">
        <v>41965.795138888898</v>
      </c>
      <c r="B1272" s="114">
        <v>6.9</v>
      </c>
      <c r="C1272" s="114" t="s">
        <v>164</v>
      </c>
    </row>
    <row r="1273" spans="1:3" x14ac:dyDescent="0.25">
      <c r="A1273" s="115">
        <v>41966.043055555601</v>
      </c>
      <c r="B1273" s="114">
        <v>50.9</v>
      </c>
      <c r="C1273" s="114" t="s">
        <v>165</v>
      </c>
    </row>
    <row r="1274" spans="1:3" x14ac:dyDescent="0.25">
      <c r="A1274" s="115">
        <v>41966.309722222199</v>
      </c>
      <c r="B1274" s="114">
        <v>6.6</v>
      </c>
      <c r="C1274" s="114" t="s">
        <v>164</v>
      </c>
    </row>
    <row r="1275" spans="1:3" x14ac:dyDescent="0.25">
      <c r="A1275" s="115">
        <v>41966.554861111101</v>
      </c>
      <c r="B1275" s="114">
        <v>50.9</v>
      </c>
      <c r="C1275" s="114" t="s">
        <v>165</v>
      </c>
    </row>
    <row r="1276" spans="1:3" x14ac:dyDescent="0.25">
      <c r="A1276" s="115">
        <v>41966.822916666701</v>
      </c>
      <c r="B1276" s="114">
        <v>6.5</v>
      </c>
      <c r="C1276" s="114" t="s">
        <v>164</v>
      </c>
    </row>
    <row r="1277" spans="1:3" x14ac:dyDescent="0.25">
      <c r="A1277" s="115">
        <v>41967.070138888899</v>
      </c>
      <c r="B1277" s="114">
        <v>51.2</v>
      </c>
      <c r="C1277" s="114" t="s">
        <v>165</v>
      </c>
    </row>
    <row r="1278" spans="1:3" x14ac:dyDescent="0.25">
      <c r="A1278" s="115">
        <v>41967.337500000001</v>
      </c>
      <c r="B1278" s="114">
        <v>6</v>
      </c>
      <c r="C1278" s="114" t="s">
        <v>164</v>
      </c>
    </row>
    <row r="1279" spans="1:3" x14ac:dyDescent="0.25">
      <c r="A1279" s="115">
        <v>41967.5805555556</v>
      </c>
      <c r="B1279" s="114">
        <v>51.4</v>
      </c>
      <c r="C1279" s="114" t="s">
        <v>165</v>
      </c>
    </row>
    <row r="1280" spans="1:3" x14ac:dyDescent="0.25">
      <c r="A1280" s="115">
        <v>41967.853472222203</v>
      </c>
      <c r="B1280" s="114">
        <v>6.6</v>
      </c>
      <c r="C1280" s="114" t="s">
        <v>164</v>
      </c>
    </row>
    <row r="1281" spans="1:3" x14ac:dyDescent="0.25">
      <c r="A1281" s="115">
        <v>41968.096527777801</v>
      </c>
      <c r="B1281" s="114">
        <v>50.6</v>
      </c>
      <c r="C1281" s="114" t="s">
        <v>165</v>
      </c>
    </row>
    <row r="1282" spans="1:3" x14ac:dyDescent="0.25">
      <c r="A1282" s="115">
        <v>41968.367361111101</v>
      </c>
      <c r="B1282" s="114">
        <v>5.7</v>
      </c>
      <c r="C1282" s="114" t="s">
        <v>164</v>
      </c>
    </row>
    <row r="1283" spans="1:3" x14ac:dyDescent="0.25">
      <c r="A1283" s="115">
        <v>41968.609722222202</v>
      </c>
      <c r="B1283" s="114">
        <v>51.3</v>
      </c>
      <c r="C1283" s="114" t="s">
        <v>165</v>
      </c>
    </row>
    <row r="1284" spans="1:3" x14ac:dyDescent="0.25">
      <c r="A1284" s="115">
        <v>41968.881944444402</v>
      </c>
      <c r="B1284" s="114">
        <v>7.2</v>
      </c>
      <c r="C1284" s="114" t="s">
        <v>164</v>
      </c>
    </row>
    <row r="1285" spans="1:3" x14ac:dyDescent="0.25">
      <c r="A1285" s="115">
        <v>41969.127083333296</v>
      </c>
      <c r="B1285" s="114">
        <v>49.5</v>
      </c>
      <c r="C1285" s="114" t="s">
        <v>165</v>
      </c>
    </row>
    <row r="1286" spans="1:3" x14ac:dyDescent="0.25">
      <c r="A1286" s="115">
        <v>41969.401388888902</v>
      </c>
      <c r="B1286" s="114">
        <v>5.7</v>
      </c>
      <c r="C1286" s="114" t="s">
        <v>164</v>
      </c>
    </row>
    <row r="1287" spans="1:3" x14ac:dyDescent="0.25">
      <c r="A1287" s="115">
        <v>41969.640277777798</v>
      </c>
      <c r="B1287" s="114">
        <v>50.4</v>
      </c>
      <c r="C1287" s="114" t="s">
        <v>165</v>
      </c>
    </row>
    <row r="1288" spans="1:3" x14ac:dyDescent="0.25">
      <c r="A1288" s="115">
        <v>41969.913888888899</v>
      </c>
      <c r="B1288" s="114">
        <v>8.1</v>
      </c>
      <c r="C1288" s="114" t="s">
        <v>164</v>
      </c>
    </row>
    <row r="1289" spans="1:3" x14ac:dyDescent="0.25">
      <c r="A1289" s="115">
        <v>41970.156944444403</v>
      </c>
      <c r="B1289" s="114">
        <v>48</v>
      </c>
      <c r="C1289" s="114" t="s">
        <v>165</v>
      </c>
    </row>
    <row r="1290" spans="1:3" x14ac:dyDescent="0.25">
      <c r="A1290" s="115">
        <v>41970.434722222199</v>
      </c>
      <c r="B1290" s="114">
        <v>6</v>
      </c>
      <c r="C1290" s="114" t="s">
        <v>164</v>
      </c>
    </row>
    <row r="1291" spans="1:3" x14ac:dyDescent="0.25">
      <c r="A1291" s="115">
        <v>41970.6743055556</v>
      </c>
      <c r="B1291" s="114">
        <v>49</v>
      </c>
      <c r="C1291" s="114" t="s">
        <v>165</v>
      </c>
    </row>
    <row r="1292" spans="1:3" x14ac:dyDescent="0.25">
      <c r="A1292" s="115">
        <v>41970.944444444402</v>
      </c>
      <c r="B1292" s="114">
        <v>9.1</v>
      </c>
      <c r="C1292" s="114" t="s">
        <v>164</v>
      </c>
    </row>
    <row r="1293" spans="1:3" x14ac:dyDescent="0.25">
      <c r="A1293" s="115">
        <v>41971.192361111098</v>
      </c>
      <c r="B1293" s="114">
        <v>46.2</v>
      </c>
      <c r="C1293" s="114" t="s">
        <v>165</v>
      </c>
    </row>
    <row r="1294" spans="1:3" x14ac:dyDescent="0.25">
      <c r="A1294" s="115">
        <v>41971.46875</v>
      </c>
      <c r="B1294" s="114">
        <v>6.5</v>
      </c>
      <c r="C1294" s="114" t="s">
        <v>164</v>
      </c>
    </row>
    <row r="1295" spans="1:3" x14ac:dyDescent="0.25">
      <c r="A1295" s="115">
        <v>41971.712500000001</v>
      </c>
      <c r="B1295" s="114">
        <v>47.2</v>
      </c>
      <c r="C1295" s="114" t="s">
        <v>165</v>
      </c>
    </row>
    <row r="1296" spans="1:3" x14ac:dyDescent="0.25">
      <c r="A1296" s="115">
        <v>41971.983333333301</v>
      </c>
      <c r="B1296" s="114">
        <v>10.4</v>
      </c>
      <c r="C1296" s="114" t="s">
        <v>164</v>
      </c>
    </row>
    <row r="1297" spans="1:3" x14ac:dyDescent="0.25">
      <c r="A1297" s="115">
        <v>41972.235416666699</v>
      </c>
      <c r="B1297" s="114">
        <v>44.5</v>
      </c>
      <c r="C1297" s="114" t="s">
        <v>165</v>
      </c>
    </row>
    <row r="1298" spans="1:3" x14ac:dyDescent="0.25">
      <c r="A1298" s="115">
        <v>41972.510416666701</v>
      </c>
      <c r="B1298" s="114">
        <v>7.2</v>
      </c>
      <c r="C1298" s="114" t="s">
        <v>164</v>
      </c>
    </row>
    <row r="1299" spans="1:3" x14ac:dyDescent="0.25">
      <c r="A1299" s="115">
        <v>41972.760416666701</v>
      </c>
      <c r="B1299" s="114">
        <v>45.7</v>
      </c>
      <c r="C1299" s="114" t="s">
        <v>165</v>
      </c>
    </row>
    <row r="1300" spans="1:3" x14ac:dyDescent="0.25">
      <c r="A1300" s="115">
        <v>41973.025000000001</v>
      </c>
      <c r="B1300" s="114">
        <v>11.6</v>
      </c>
      <c r="C1300" s="114" t="s">
        <v>164</v>
      </c>
    </row>
    <row r="1301" spans="1:3" x14ac:dyDescent="0.25">
      <c r="A1301" s="115">
        <v>41973.28125</v>
      </c>
      <c r="B1301" s="114">
        <v>43.3</v>
      </c>
      <c r="C1301" s="114" t="s">
        <v>165</v>
      </c>
    </row>
    <row r="1302" spans="1:3" x14ac:dyDescent="0.25">
      <c r="A1302" s="115">
        <v>41973.552083333299</v>
      </c>
      <c r="B1302" s="114">
        <v>8</v>
      </c>
      <c r="C1302" s="114" t="s">
        <v>164</v>
      </c>
    </row>
    <row r="1303" spans="1:3" x14ac:dyDescent="0.25">
      <c r="A1303" s="115">
        <v>41973.811111111099</v>
      </c>
      <c r="B1303" s="114">
        <v>44.9</v>
      </c>
      <c r="C1303" s="114" t="s">
        <v>165</v>
      </c>
    </row>
    <row r="1304" spans="1:3" x14ac:dyDescent="0.25">
      <c r="A1304" s="115">
        <v>41974.069444444402</v>
      </c>
      <c r="B1304" s="114">
        <v>12.4</v>
      </c>
      <c r="C1304" s="114" t="s">
        <v>164</v>
      </c>
    </row>
    <row r="1305" spans="1:3" x14ac:dyDescent="0.25">
      <c r="A1305" s="115">
        <v>41974.331944444399</v>
      </c>
      <c r="B1305" s="114">
        <v>42.9</v>
      </c>
      <c r="C1305" s="114" t="s">
        <v>165</v>
      </c>
    </row>
    <row r="1306" spans="1:3" x14ac:dyDescent="0.25">
      <c r="A1306" s="115">
        <v>41974.600694444402</v>
      </c>
      <c r="B1306" s="114">
        <v>8.6</v>
      </c>
      <c r="C1306" s="114" t="s">
        <v>164</v>
      </c>
    </row>
    <row r="1307" spans="1:3" x14ac:dyDescent="0.25">
      <c r="A1307" s="115">
        <v>41974.857638888898</v>
      </c>
      <c r="B1307" s="114">
        <v>44.7</v>
      </c>
      <c r="C1307" s="114" t="s">
        <v>165</v>
      </c>
    </row>
    <row r="1308" spans="1:3" x14ac:dyDescent="0.25">
      <c r="A1308" s="115">
        <v>41975.121527777803</v>
      </c>
      <c r="B1308" s="114">
        <v>12.6</v>
      </c>
      <c r="C1308" s="114" t="s">
        <v>164</v>
      </c>
    </row>
    <row r="1309" spans="1:3" x14ac:dyDescent="0.25">
      <c r="A1309" s="115">
        <v>41975.378472222197</v>
      </c>
      <c r="B1309" s="114">
        <v>43.3</v>
      </c>
      <c r="C1309" s="114" t="s">
        <v>165</v>
      </c>
    </row>
    <row r="1310" spans="1:3" x14ac:dyDescent="0.25">
      <c r="A1310" s="115">
        <v>41975.656944444403</v>
      </c>
      <c r="B1310" s="114">
        <v>8.6</v>
      </c>
      <c r="C1310" s="114" t="s">
        <v>164</v>
      </c>
    </row>
    <row r="1311" spans="1:3" x14ac:dyDescent="0.25">
      <c r="A1311" s="115">
        <v>41975.906944444403</v>
      </c>
      <c r="B1311" s="114">
        <v>45.4</v>
      </c>
      <c r="C1311" s="114" t="s">
        <v>165</v>
      </c>
    </row>
    <row r="1312" spans="1:3" x14ac:dyDescent="0.25">
      <c r="A1312" s="115">
        <v>41976.1694444444</v>
      </c>
      <c r="B1312" s="114">
        <v>11.8</v>
      </c>
      <c r="C1312" s="114" t="s">
        <v>164</v>
      </c>
    </row>
    <row r="1313" spans="1:3" x14ac:dyDescent="0.25">
      <c r="A1313" s="115">
        <v>41976.422916666699</v>
      </c>
      <c r="B1313" s="114">
        <v>44.7</v>
      </c>
      <c r="C1313" s="114" t="s">
        <v>165</v>
      </c>
    </row>
    <row r="1314" spans="1:3" x14ac:dyDescent="0.25">
      <c r="A1314" s="115">
        <v>41976.701388888898</v>
      </c>
      <c r="B1314" s="114">
        <v>7.8</v>
      </c>
      <c r="C1314" s="114" t="s">
        <v>164</v>
      </c>
    </row>
    <row r="1315" spans="1:3" x14ac:dyDescent="0.25">
      <c r="A1315" s="115">
        <v>41976.945833333302</v>
      </c>
      <c r="B1315" s="114">
        <v>46.7</v>
      </c>
      <c r="C1315" s="114" t="s">
        <v>165</v>
      </c>
    </row>
    <row r="1316" spans="1:3" x14ac:dyDescent="0.25">
      <c r="A1316" s="115">
        <v>41977.219444444403</v>
      </c>
      <c r="B1316" s="114">
        <v>10.3</v>
      </c>
      <c r="C1316" s="114" t="s">
        <v>164</v>
      </c>
    </row>
    <row r="1317" spans="1:3" x14ac:dyDescent="0.25">
      <c r="A1317" s="115">
        <v>41977.462500000001</v>
      </c>
      <c r="B1317" s="114">
        <v>46.5</v>
      </c>
      <c r="C1317" s="114" t="s">
        <v>165</v>
      </c>
    </row>
    <row r="1318" spans="1:3" x14ac:dyDescent="0.25">
      <c r="A1318" s="115">
        <v>41977.737500000003</v>
      </c>
      <c r="B1318" s="114">
        <v>7.1</v>
      </c>
      <c r="C1318" s="114" t="s">
        <v>164</v>
      </c>
    </row>
    <row r="1319" spans="1:3" x14ac:dyDescent="0.25">
      <c r="A1319" s="115">
        <v>41977.983333333301</v>
      </c>
      <c r="B1319" s="114">
        <v>47.8</v>
      </c>
      <c r="C1319" s="114" t="s">
        <v>165</v>
      </c>
    </row>
    <row r="1320" spans="1:3" x14ac:dyDescent="0.25">
      <c r="A1320" s="115">
        <v>41978.249305555597</v>
      </c>
      <c r="B1320" s="114">
        <v>8.6999999999999993</v>
      </c>
      <c r="C1320" s="114" t="s">
        <v>164</v>
      </c>
    </row>
    <row r="1321" spans="1:3" x14ac:dyDescent="0.25">
      <c r="A1321" s="115">
        <v>41978.496527777803</v>
      </c>
      <c r="B1321" s="114">
        <v>48.1</v>
      </c>
      <c r="C1321" s="114" t="s">
        <v>165</v>
      </c>
    </row>
    <row r="1322" spans="1:3" x14ac:dyDescent="0.25">
      <c r="A1322" s="115">
        <v>41978.767361111102</v>
      </c>
      <c r="B1322" s="114">
        <v>6.8</v>
      </c>
      <c r="C1322" s="114" t="s">
        <v>164</v>
      </c>
    </row>
    <row r="1323" spans="1:3" x14ac:dyDescent="0.25">
      <c r="A1323" s="115">
        <v>41979.014583333301</v>
      </c>
      <c r="B1323" s="114">
        <v>48.7</v>
      </c>
      <c r="C1323" s="114" t="s">
        <v>165</v>
      </c>
    </row>
    <row r="1324" spans="1:3" x14ac:dyDescent="0.25">
      <c r="A1324" s="115">
        <v>41979.279861111099</v>
      </c>
      <c r="B1324" s="114">
        <v>7.4</v>
      </c>
      <c r="C1324" s="114" t="s">
        <v>164</v>
      </c>
    </row>
    <row r="1325" spans="1:3" x14ac:dyDescent="0.25">
      <c r="A1325" s="115">
        <v>41979.525694444397</v>
      </c>
      <c r="B1325" s="114">
        <v>49.4</v>
      </c>
      <c r="C1325" s="114" t="s">
        <v>165</v>
      </c>
    </row>
    <row r="1326" spans="1:3" x14ac:dyDescent="0.25">
      <c r="A1326" s="115">
        <v>41979.795138888898</v>
      </c>
      <c r="B1326" s="114">
        <v>6.8</v>
      </c>
      <c r="C1326" s="114" t="s">
        <v>164</v>
      </c>
    </row>
    <row r="1327" spans="1:3" x14ac:dyDescent="0.25">
      <c r="A1327" s="115">
        <v>41980.046527777798</v>
      </c>
      <c r="B1327" s="114">
        <v>49.2</v>
      </c>
      <c r="C1327" s="114" t="s">
        <v>165</v>
      </c>
    </row>
    <row r="1328" spans="1:3" x14ac:dyDescent="0.25">
      <c r="A1328" s="115">
        <v>41980.311111111099</v>
      </c>
      <c r="B1328" s="114">
        <v>6.4</v>
      </c>
      <c r="C1328" s="114" t="s">
        <v>164</v>
      </c>
    </row>
    <row r="1329" spans="1:3" x14ac:dyDescent="0.25">
      <c r="A1329" s="115">
        <v>41980.556944444397</v>
      </c>
      <c r="B1329" s="114">
        <v>50.2</v>
      </c>
      <c r="C1329" s="114" t="s">
        <v>165</v>
      </c>
    </row>
    <row r="1330" spans="1:3" x14ac:dyDescent="0.25">
      <c r="A1330" s="115">
        <v>41980.822916666701</v>
      </c>
      <c r="B1330" s="114">
        <v>7.1</v>
      </c>
      <c r="C1330" s="114" t="s">
        <v>164</v>
      </c>
    </row>
    <row r="1331" spans="1:3" x14ac:dyDescent="0.25">
      <c r="A1331" s="115">
        <v>41981.074305555601</v>
      </c>
      <c r="B1331" s="114">
        <v>49.3</v>
      </c>
      <c r="C1331" s="114" t="s">
        <v>165</v>
      </c>
    </row>
    <row r="1332" spans="1:3" x14ac:dyDescent="0.25">
      <c r="A1332" s="115">
        <v>41981.338888888902</v>
      </c>
      <c r="B1332" s="114">
        <v>5.9</v>
      </c>
      <c r="C1332" s="114" t="s">
        <v>164</v>
      </c>
    </row>
    <row r="1333" spans="1:3" x14ac:dyDescent="0.25">
      <c r="A1333" s="115">
        <v>41981.587500000001</v>
      </c>
      <c r="B1333" s="114">
        <v>50.4</v>
      </c>
      <c r="C1333" s="114" t="s">
        <v>165</v>
      </c>
    </row>
    <row r="1334" spans="1:3" x14ac:dyDescent="0.25">
      <c r="A1334" s="115">
        <v>41981.847916666702</v>
      </c>
      <c r="B1334" s="114">
        <v>7.7</v>
      </c>
      <c r="C1334" s="114" t="s">
        <v>164</v>
      </c>
    </row>
    <row r="1335" spans="1:3" x14ac:dyDescent="0.25">
      <c r="A1335" s="115">
        <v>41982.103472222203</v>
      </c>
      <c r="B1335" s="114">
        <v>48.9</v>
      </c>
      <c r="C1335" s="114" t="s">
        <v>165</v>
      </c>
    </row>
    <row r="1336" spans="1:3" x14ac:dyDescent="0.25">
      <c r="A1336" s="115">
        <v>41982.368055555598</v>
      </c>
      <c r="B1336" s="114">
        <v>5.9</v>
      </c>
      <c r="C1336" s="114" t="s">
        <v>164</v>
      </c>
    </row>
    <row r="1337" spans="1:3" x14ac:dyDescent="0.25">
      <c r="A1337" s="115">
        <v>41982.614583333299</v>
      </c>
      <c r="B1337" s="114">
        <v>50</v>
      </c>
      <c r="C1337" s="114" t="s">
        <v>165</v>
      </c>
    </row>
    <row r="1338" spans="1:3" x14ac:dyDescent="0.25">
      <c r="A1338" s="115">
        <v>41982.875</v>
      </c>
      <c r="B1338" s="114">
        <v>8.6</v>
      </c>
      <c r="C1338" s="114" t="s">
        <v>164</v>
      </c>
    </row>
    <row r="1339" spans="1:3" x14ac:dyDescent="0.25">
      <c r="A1339" s="115">
        <v>41983.129861111098</v>
      </c>
      <c r="B1339" s="114">
        <v>48.1</v>
      </c>
      <c r="C1339" s="114" t="s">
        <v>165</v>
      </c>
    </row>
    <row r="1340" spans="1:3" x14ac:dyDescent="0.25">
      <c r="A1340" s="115">
        <v>41983.392361111102</v>
      </c>
      <c r="B1340" s="114">
        <v>6.4</v>
      </c>
      <c r="C1340" s="114" t="s">
        <v>164</v>
      </c>
    </row>
    <row r="1341" spans="1:3" x14ac:dyDescent="0.25">
      <c r="A1341" s="115">
        <v>41983.642361111102</v>
      </c>
      <c r="B1341" s="114">
        <v>48.9</v>
      </c>
      <c r="C1341" s="114" t="s">
        <v>165</v>
      </c>
    </row>
    <row r="1342" spans="1:3" x14ac:dyDescent="0.25">
      <c r="A1342" s="115">
        <v>41983.899305555598</v>
      </c>
      <c r="B1342" s="114">
        <v>9.6</v>
      </c>
      <c r="C1342" s="114" t="s">
        <v>164</v>
      </c>
    </row>
    <row r="1343" spans="1:3" x14ac:dyDescent="0.25">
      <c r="A1343" s="115">
        <v>41984.156944444403</v>
      </c>
      <c r="B1343" s="114">
        <v>46.8</v>
      </c>
      <c r="C1343" s="114" t="s">
        <v>165</v>
      </c>
    </row>
    <row r="1344" spans="1:3" x14ac:dyDescent="0.25">
      <c r="A1344" s="115">
        <v>41984.420833333301</v>
      </c>
      <c r="B1344" s="114">
        <v>7.3</v>
      </c>
      <c r="C1344" s="114" t="s">
        <v>164</v>
      </c>
    </row>
    <row r="1345" spans="1:3" x14ac:dyDescent="0.25">
      <c r="A1345" s="115">
        <v>41984.670138888898</v>
      </c>
      <c r="B1345" s="114">
        <v>47.3</v>
      </c>
      <c r="C1345" s="114" t="s">
        <v>165</v>
      </c>
    </row>
    <row r="1346" spans="1:3" x14ac:dyDescent="0.25">
      <c r="A1346" s="115">
        <v>41984.927777777797</v>
      </c>
      <c r="B1346" s="114">
        <v>10.7</v>
      </c>
      <c r="C1346" s="114" t="s">
        <v>164</v>
      </c>
    </row>
    <row r="1347" spans="1:3" x14ac:dyDescent="0.25">
      <c r="A1347" s="115">
        <v>41985.184722222199</v>
      </c>
      <c r="B1347" s="114">
        <v>45.3</v>
      </c>
      <c r="C1347" s="114" t="s">
        <v>165</v>
      </c>
    </row>
    <row r="1348" spans="1:3" x14ac:dyDescent="0.25">
      <c r="A1348" s="115">
        <v>41985.448611111096</v>
      </c>
      <c r="B1348" s="114">
        <v>8.4</v>
      </c>
      <c r="C1348" s="114" t="s">
        <v>164</v>
      </c>
    </row>
    <row r="1349" spans="1:3" x14ac:dyDescent="0.25">
      <c r="A1349" s="115">
        <v>41985.7</v>
      </c>
      <c r="B1349" s="114">
        <v>45.5</v>
      </c>
      <c r="C1349" s="114" t="s">
        <v>165</v>
      </c>
    </row>
    <row r="1350" spans="1:3" x14ac:dyDescent="0.25">
      <c r="A1350" s="115">
        <v>41985.9555555556</v>
      </c>
      <c r="B1350" s="114">
        <v>11.8</v>
      </c>
      <c r="C1350" s="114" t="s">
        <v>164</v>
      </c>
    </row>
    <row r="1351" spans="1:3" x14ac:dyDescent="0.25">
      <c r="A1351" s="115">
        <v>41986.212500000001</v>
      </c>
      <c r="B1351" s="114">
        <v>43.7</v>
      </c>
      <c r="C1351" s="114" t="s">
        <v>165</v>
      </c>
    </row>
    <row r="1352" spans="1:3" x14ac:dyDescent="0.25">
      <c r="A1352" s="115">
        <v>41986.476388888899</v>
      </c>
      <c r="B1352" s="114">
        <v>9.5</v>
      </c>
      <c r="C1352" s="114" t="s">
        <v>164</v>
      </c>
    </row>
    <row r="1353" spans="1:3" x14ac:dyDescent="0.25">
      <c r="A1353" s="115">
        <v>41986.730555555601</v>
      </c>
      <c r="B1353" s="114">
        <v>43.7</v>
      </c>
      <c r="C1353" s="114" t="s">
        <v>165</v>
      </c>
    </row>
    <row r="1354" spans="1:3" x14ac:dyDescent="0.25">
      <c r="A1354" s="115">
        <v>41986.979166666701</v>
      </c>
      <c r="B1354" s="114">
        <v>12.8</v>
      </c>
      <c r="C1354" s="114" t="s">
        <v>164</v>
      </c>
    </row>
    <row r="1355" spans="1:3" x14ac:dyDescent="0.25">
      <c r="A1355" s="115">
        <v>41987.243055555598</v>
      </c>
      <c r="B1355" s="114">
        <v>42.1</v>
      </c>
      <c r="C1355" s="114" t="s">
        <v>165</v>
      </c>
    </row>
    <row r="1356" spans="1:3" x14ac:dyDescent="0.25">
      <c r="A1356" s="115">
        <v>41987.510416666701</v>
      </c>
      <c r="B1356" s="114">
        <v>10.7</v>
      </c>
      <c r="C1356" s="114" t="s">
        <v>164</v>
      </c>
    </row>
    <row r="1357" spans="1:3" x14ac:dyDescent="0.25">
      <c r="A1357" s="115">
        <v>41987.767361111102</v>
      </c>
      <c r="B1357" s="114">
        <v>42.1</v>
      </c>
      <c r="C1357" s="114" t="s">
        <v>165</v>
      </c>
    </row>
    <row r="1358" spans="1:3" x14ac:dyDescent="0.25">
      <c r="A1358" s="115">
        <v>41988.017361111102</v>
      </c>
      <c r="B1358" s="114">
        <v>13.9</v>
      </c>
      <c r="C1358" s="114" t="s">
        <v>164</v>
      </c>
    </row>
    <row r="1359" spans="1:3" x14ac:dyDescent="0.25">
      <c r="A1359" s="115">
        <v>41988.28125</v>
      </c>
      <c r="B1359" s="114">
        <v>40.6</v>
      </c>
      <c r="C1359" s="114" t="s">
        <v>165</v>
      </c>
    </row>
    <row r="1360" spans="1:3" x14ac:dyDescent="0.25">
      <c r="A1360" s="115">
        <v>41988.551388888904</v>
      </c>
      <c r="B1360" s="114">
        <v>11.6</v>
      </c>
      <c r="C1360" s="114" t="s">
        <v>164</v>
      </c>
    </row>
    <row r="1361" spans="1:3" x14ac:dyDescent="0.25">
      <c r="A1361" s="115">
        <v>41988.809722222199</v>
      </c>
      <c r="B1361" s="114">
        <v>41.1</v>
      </c>
      <c r="C1361" s="114" t="s">
        <v>165</v>
      </c>
    </row>
    <row r="1362" spans="1:3" x14ac:dyDescent="0.25">
      <c r="A1362" s="115">
        <v>41989.0805555556</v>
      </c>
      <c r="B1362" s="114">
        <v>14.2</v>
      </c>
      <c r="C1362" s="114" t="s">
        <v>164</v>
      </c>
    </row>
    <row r="1363" spans="1:3" x14ac:dyDescent="0.25">
      <c r="A1363" s="115">
        <v>41989.326388888898</v>
      </c>
      <c r="B1363" s="114">
        <v>39.799999999999997</v>
      </c>
      <c r="C1363" s="114" t="s">
        <v>165</v>
      </c>
    </row>
    <row r="1364" spans="1:3" x14ac:dyDescent="0.25">
      <c r="A1364" s="115">
        <v>41989.608333333301</v>
      </c>
      <c r="B1364" s="114">
        <v>11.8</v>
      </c>
      <c r="C1364" s="114" t="s">
        <v>164</v>
      </c>
    </row>
    <row r="1365" spans="1:3" x14ac:dyDescent="0.25">
      <c r="A1365" s="115">
        <v>41989.854166666701</v>
      </c>
      <c r="B1365" s="114">
        <v>41.3</v>
      </c>
      <c r="C1365" s="114" t="s">
        <v>165</v>
      </c>
    </row>
    <row r="1366" spans="1:3" x14ac:dyDescent="0.25">
      <c r="A1366" s="115">
        <v>41990.125694444403</v>
      </c>
      <c r="B1366" s="114">
        <v>13.5</v>
      </c>
      <c r="C1366" s="114" t="s">
        <v>164</v>
      </c>
    </row>
    <row r="1367" spans="1:3" x14ac:dyDescent="0.25">
      <c r="A1367" s="115">
        <v>41990.371527777803</v>
      </c>
      <c r="B1367" s="114">
        <v>40.299999999999997</v>
      </c>
      <c r="C1367" s="114" t="s">
        <v>165</v>
      </c>
    </row>
    <row r="1368" spans="1:3" x14ac:dyDescent="0.25">
      <c r="A1368" s="115">
        <v>41990.6430555556</v>
      </c>
      <c r="B1368" s="114">
        <v>11.3</v>
      </c>
      <c r="C1368" s="114" t="s">
        <v>164</v>
      </c>
    </row>
    <row r="1369" spans="1:3" x14ac:dyDescent="0.25">
      <c r="A1369" s="115">
        <v>41990.899305555598</v>
      </c>
      <c r="B1369" s="114">
        <v>42.7</v>
      </c>
      <c r="C1369" s="114" t="s">
        <v>165</v>
      </c>
    </row>
    <row r="1370" spans="1:3" x14ac:dyDescent="0.25">
      <c r="A1370" s="115">
        <v>41991.163888888899</v>
      </c>
      <c r="B1370" s="114">
        <v>12.3</v>
      </c>
      <c r="C1370" s="114" t="s">
        <v>164</v>
      </c>
    </row>
    <row r="1371" spans="1:3" x14ac:dyDescent="0.25">
      <c r="A1371" s="115">
        <v>41991.416666666701</v>
      </c>
      <c r="B1371" s="114">
        <v>42.2</v>
      </c>
      <c r="C1371" s="114" t="s">
        <v>165</v>
      </c>
    </row>
    <row r="1372" spans="1:3" x14ac:dyDescent="0.25">
      <c r="A1372" s="115">
        <v>41991.680555555598</v>
      </c>
      <c r="B1372" s="114">
        <v>10.3</v>
      </c>
      <c r="C1372" s="114" t="s">
        <v>164</v>
      </c>
    </row>
    <row r="1373" spans="1:3" x14ac:dyDescent="0.25">
      <c r="A1373" s="115">
        <v>41991.938888888901</v>
      </c>
      <c r="B1373" s="114">
        <v>44.9</v>
      </c>
      <c r="C1373" s="114" t="s">
        <v>165</v>
      </c>
    </row>
    <row r="1374" spans="1:3" x14ac:dyDescent="0.25">
      <c r="A1374" s="115">
        <v>41992.198611111096</v>
      </c>
      <c r="B1374" s="114">
        <v>10.8</v>
      </c>
      <c r="C1374" s="114" t="s">
        <v>164</v>
      </c>
    </row>
    <row r="1375" spans="1:3" x14ac:dyDescent="0.25">
      <c r="A1375" s="115">
        <v>41992.452777777798</v>
      </c>
      <c r="B1375" s="114">
        <v>44.6</v>
      </c>
      <c r="C1375" s="114" t="s">
        <v>165</v>
      </c>
    </row>
    <row r="1376" spans="1:3" x14ac:dyDescent="0.25">
      <c r="A1376" s="115">
        <v>41992.711111111101</v>
      </c>
      <c r="B1376" s="114">
        <v>9.1999999999999993</v>
      </c>
      <c r="C1376" s="114" t="s">
        <v>164</v>
      </c>
    </row>
    <row r="1377" spans="1:3" x14ac:dyDescent="0.25">
      <c r="A1377" s="115">
        <v>41992.969444444403</v>
      </c>
      <c r="B1377" s="114">
        <v>47</v>
      </c>
      <c r="C1377" s="114" t="s">
        <v>165</v>
      </c>
    </row>
    <row r="1378" spans="1:3" x14ac:dyDescent="0.25">
      <c r="A1378" s="115">
        <v>41993.230555555601</v>
      </c>
      <c r="B1378" s="114">
        <v>9.1</v>
      </c>
      <c r="C1378" s="114" t="s">
        <v>164</v>
      </c>
    </row>
    <row r="1379" spans="1:3" x14ac:dyDescent="0.25">
      <c r="A1379" s="115">
        <v>41993.483333333301</v>
      </c>
      <c r="B1379" s="114">
        <v>47</v>
      </c>
      <c r="C1379" s="114" t="s">
        <v>165</v>
      </c>
    </row>
    <row r="1380" spans="1:3" x14ac:dyDescent="0.25">
      <c r="A1380" s="115">
        <v>41993.747916666704</v>
      </c>
      <c r="B1380" s="114">
        <v>8.1</v>
      </c>
      <c r="C1380" s="114" t="s">
        <v>164</v>
      </c>
    </row>
    <row r="1381" spans="1:3" x14ac:dyDescent="0.25">
      <c r="A1381" s="115">
        <v>41994.001388888901</v>
      </c>
      <c r="B1381" s="114">
        <v>48.8</v>
      </c>
      <c r="C1381" s="114" t="s">
        <v>165</v>
      </c>
    </row>
    <row r="1382" spans="1:3" x14ac:dyDescent="0.25">
      <c r="A1382" s="115">
        <v>41994.260416666701</v>
      </c>
      <c r="B1382" s="114">
        <v>7.6</v>
      </c>
      <c r="C1382" s="114" t="s">
        <v>164</v>
      </c>
    </row>
    <row r="1383" spans="1:3" x14ac:dyDescent="0.25">
      <c r="A1383" s="115">
        <v>41994.512499999997</v>
      </c>
      <c r="B1383" s="114">
        <v>49</v>
      </c>
      <c r="C1383" s="114" t="s">
        <v>165</v>
      </c>
    </row>
    <row r="1384" spans="1:3" x14ac:dyDescent="0.25">
      <c r="A1384" s="115">
        <v>41994.777777777803</v>
      </c>
      <c r="B1384" s="114">
        <v>7.1</v>
      </c>
      <c r="C1384" s="114" t="s">
        <v>164</v>
      </c>
    </row>
    <row r="1385" spans="1:3" x14ac:dyDescent="0.25">
      <c r="A1385" s="115">
        <v>41995.029861111099</v>
      </c>
      <c r="B1385" s="114">
        <v>50</v>
      </c>
      <c r="C1385" s="114" t="s">
        <v>165</v>
      </c>
    </row>
    <row r="1386" spans="1:3" x14ac:dyDescent="0.25">
      <c r="A1386" s="115">
        <v>41995.295833333301</v>
      </c>
      <c r="B1386" s="114">
        <v>6.2</v>
      </c>
      <c r="C1386" s="114" t="s">
        <v>164</v>
      </c>
    </row>
    <row r="1387" spans="1:3" x14ac:dyDescent="0.25">
      <c r="A1387" s="115">
        <v>41995.540972222203</v>
      </c>
      <c r="B1387" s="114">
        <v>50.5</v>
      </c>
      <c r="C1387" s="114" t="s">
        <v>165</v>
      </c>
    </row>
    <row r="1388" spans="1:3" x14ac:dyDescent="0.25">
      <c r="A1388" s="115">
        <v>41995.809027777803</v>
      </c>
      <c r="B1388" s="114">
        <v>6.6</v>
      </c>
      <c r="C1388" s="114" t="s">
        <v>164</v>
      </c>
    </row>
    <row r="1389" spans="1:3" x14ac:dyDescent="0.25">
      <c r="A1389" s="115">
        <v>41996.059722222199</v>
      </c>
      <c r="B1389" s="114">
        <v>50.6</v>
      </c>
      <c r="C1389" s="114" t="s">
        <v>165</v>
      </c>
    </row>
    <row r="1390" spans="1:3" x14ac:dyDescent="0.25">
      <c r="A1390" s="115">
        <v>41996.3305555556</v>
      </c>
      <c r="B1390" s="114">
        <v>5.0999999999999996</v>
      </c>
      <c r="C1390" s="114" t="s">
        <v>164</v>
      </c>
    </row>
    <row r="1391" spans="1:3" x14ac:dyDescent="0.25">
      <c r="A1391" s="115">
        <v>41996.570833333302</v>
      </c>
      <c r="B1391" s="114">
        <v>51.4</v>
      </c>
      <c r="C1391" s="114" t="s">
        <v>165</v>
      </c>
    </row>
    <row r="1392" spans="1:3" x14ac:dyDescent="0.25">
      <c r="A1392" s="115">
        <v>41996.840972222199</v>
      </c>
      <c r="B1392" s="114">
        <v>6.5</v>
      </c>
      <c r="C1392" s="114" t="s">
        <v>164</v>
      </c>
    </row>
    <row r="1393" spans="1:3" x14ac:dyDescent="0.25">
      <c r="A1393" s="115">
        <v>41997.087500000001</v>
      </c>
      <c r="B1393" s="114">
        <v>50.5</v>
      </c>
      <c r="C1393" s="114" t="s">
        <v>165</v>
      </c>
    </row>
    <row r="1394" spans="1:3" x14ac:dyDescent="0.25">
      <c r="A1394" s="115">
        <v>41997.361111111102</v>
      </c>
      <c r="B1394" s="114">
        <v>4.3</v>
      </c>
      <c r="C1394" s="114" t="s">
        <v>164</v>
      </c>
    </row>
    <row r="1395" spans="1:3" x14ac:dyDescent="0.25">
      <c r="A1395" s="115">
        <v>41997.600694444402</v>
      </c>
      <c r="B1395" s="114">
        <v>51.7</v>
      </c>
      <c r="C1395" s="114" t="s">
        <v>165</v>
      </c>
    </row>
    <row r="1396" spans="1:3" x14ac:dyDescent="0.25">
      <c r="A1396" s="115">
        <v>41997.871527777803</v>
      </c>
      <c r="B1396" s="114">
        <v>6.8</v>
      </c>
      <c r="C1396" s="114" t="s">
        <v>164</v>
      </c>
    </row>
    <row r="1397" spans="1:3" x14ac:dyDescent="0.25">
      <c r="A1397" s="115">
        <v>41998.118055555598</v>
      </c>
      <c r="B1397" s="114">
        <v>50</v>
      </c>
      <c r="C1397" s="114" t="s">
        <v>165</v>
      </c>
    </row>
    <row r="1398" spans="1:3" x14ac:dyDescent="0.25">
      <c r="A1398" s="115">
        <v>41998.394444444399</v>
      </c>
      <c r="B1398" s="114">
        <v>3.9</v>
      </c>
      <c r="C1398" s="114" t="s">
        <v>164</v>
      </c>
    </row>
    <row r="1399" spans="1:3" x14ac:dyDescent="0.25">
      <c r="A1399" s="115">
        <v>41998.6340277778</v>
      </c>
      <c r="B1399" s="114">
        <v>51.2</v>
      </c>
      <c r="C1399" s="114" t="s">
        <v>165</v>
      </c>
    </row>
    <row r="1400" spans="1:3" x14ac:dyDescent="0.25">
      <c r="A1400" s="115">
        <v>41998.904166666704</v>
      </c>
      <c r="B1400" s="114">
        <v>7.3</v>
      </c>
      <c r="C1400" s="114" t="s">
        <v>164</v>
      </c>
    </row>
    <row r="1401" spans="1:3" x14ac:dyDescent="0.25">
      <c r="A1401" s="115">
        <v>41999.15</v>
      </c>
      <c r="B1401" s="114">
        <v>49.1</v>
      </c>
      <c r="C1401" s="114" t="s">
        <v>165</v>
      </c>
    </row>
    <row r="1402" spans="1:3" x14ac:dyDescent="0.25">
      <c r="A1402" s="115">
        <v>41999.427777777797</v>
      </c>
      <c r="B1402" s="114">
        <v>3.9</v>
      </c>
      <c r="C1402" s="114" t="s">
        <v>164</v>
      </c>
    </row>
    <row r="1403" spans="1:3" x14ac:dyDescent="0.25">
      <c r="A1403" s="115">
        <v>41999.665972222203</v>
      </c>
      <c r="B1403" s="114">
        <v>50.2</v>
      </c>
      <c r="C1403" s="114" t="s">
        <v>165</v>
      </c>
    </row>
    <row r="1404" spans="1:3" x14ac:dyDescent="0.25">
      <c r="A1404" s="115">
        <v>41999.934722222199</v>
      </c>
      <c r="B1404" s="114">
        <v>8.1</v>
      </c>
      <c r="C1404" s="114" t="s">
        <v>164</v>
      </c>
    </row>
    <row r="1405" spans="1:3" x14ac:dyDescent="0.25">
      <c r="A1405" s="115">
        <v>42000.185416666704</v>
      </c>
      <c r="B1405" s="114">
        <v>47.9</v>
      </c>
      <c r="C1405" s="114" t="s">
        <v>165</v>
      </c>
    </row>
    <row r="1406" spans="1:3" x14ac:dyDescent="0.25">
      <c r="A1406" s="115">
        <v>42000.461805555598</v>
      </c>
      <c r="B1406" s="114">
        <v>4.2</v>
      </c>
      <c r="C1406" s="114" t="s">
        <v>164</v>
      </c>
    </row>
    <row r="1407" spans="1:3" x14ac:dyDescent="0.25">
      <c r="A1407" s="115">
        <v>42000.7055555556</v>
      </c>
      <c r="B1407" s="114">
        <v>48.7</v>
      </c>
      <c r="C1407" s="114" t="s">
        <v>165</v>
      </c>
    </row>
    <row r="1408" spans="1:3" x14ac:dyDescent="0.25">
      <c r="A1408" s="115">
        <v>42000.96875</v>
      </c>
      <c r="B1408" s="114">
        <v>9</v>
      </c>
      <c r="C1408" s="114" t="s">
        <v>164</v>
      </c>
    </row>
    <row r="1409" spans="1:3" x14ac:dyDescent="0.25">
      <c r="A1409" s="115">
        <v>42001.226388888899</v>
      </c>
      <c r="B1409" s="114">
        <v>46.6</v>
      </c>
      <c r="C1409" s="114" t="s">
        <v>165</v>
      </c>
    </row>
    <row r="1410" spans="1:3" x14ac:dyDescent="0.25">
      <c r="A1410" s="115">
        <v>42001.498611111099</v>
      </c>
      <c r="B1410" s="114">
        <v>5</v>
      </c>
      <c r="C1410" s="114" t="s">
        <v>164</v>
      </c>
    </row>
    <row r="1411" spans="1:3" x14ac:dyDescent="0.25">
      <c r="A1411" s="115">
        <v>42001.746527777803</v>
      </c>
      <c r="B1411" s="114">
        <v>47.2</v>
      </c>
      <c r="C1411" s="114" t="s">
        <v>165</v>
      </c>
    </row>
    <row r="1412" spans="1:3" x14ac:dyDescent="0.25">
      <c r="A1412" s="115">
        <v>42002.006944444402</v>
      </c>
      <c r="B1412" s="114">
        <v>10</v>
      </c>
      <c r="C1412" s="114" t="s">
        <v>164</v>
      </c>
    </row>
    <row r="1413" spans="1:3" x14ac:dyDescent="0.25">
      <c r="A1413" s="115">
        <v>42002.267361111102</v>
      </c>
      <c r="B1413" s="114">
        <v>45.3</v>
      </c>
      <c r="C1413" s="114" t="s">
        <v>165</v>
      </c>
    </row>
    <row r="1414" spans="1:3" x14ac:dyDescent="0.25">
      <c r="A1414" s="115">
        <v>42002.538888888899</v>
      </c>
      <c r="B1414" s="114">
        <v>6.3</v>
      </c>
      <c r="C1414" s="114" t="s">
        <v>164</v>
      </c>
    </row>
    <row r="1415" spans="1:3" x14ac:dyDescent="0.25">
      <c r="A1415" s="115">
        <v>42002.793055555601</v>
      </c>
      <c r="B1415" s="114">
        <v>45.7</v>
      </c>
      <c r="C1415" s="114" t="s">
        <v>165</v>
      </c>
    </row>
    <row r="1416" spans="1:3" x14ac:dyDescent="0.25">
      <c r="A1416" s="115">
        <v>42003.0444444444</v>
      </c>
      <c r="B1416" s="114">
        <v>11.2</v>
      </c>
      <c r="C1416" s="114" t="s">
        <v>164</v>
      </c>
    </row>
    <row r="1417" spans="1:3" x14ac:dyDescent="0.25">
      <c r="A1417" s="115">
        <v>42003.311111111099</v>
      </c>
      <c r="B1417" s="114">
        <v>44.1</v>
      </c>
      <c r="C1417" s="114" t="s">
        <v>165</v>
      </c>
    </row>
    <row r="1418" spans="1:3" x14ac:dyDescent="0.25">
      <c r="A1418" s="115">
        <v>42003.579861111102</v>
      </c>
      <c r="B1418" s="114">
        <v>7.8</v>
      </c>
      <c r="C1418" s="114" t="s">
        <v>164</v>
      </c>
    </row>
    <row r="1419" spans="1:3" x14ac:dyDescent="0.25">
      <c r="A1419" s="115">
        <v>42003.838888888902</v>
      </c>
      <c r="B1419" s="114">
        <v>44.3</v>
      </c>
      <c r="C1419" s="114" t="s">
        <v>165</v>
      </c>
    </row>
    <row r="1420" spans="1:3" x14ac:dyDescent="0.25">
      <c r="A1420" s="115">
        <v>42004.09375</v>
      </c>
      <c r="B1420" s="114">
        <v>12</v>
      </c>
      <c r="C1420" s="114" t="s">
        <v>164</v>
      </c>
    </row>
    <row r="1421" spans="1:3" x14ac:dyDescent="0.25">
      <c r="A1421" s="115">
        <v>42004.358333333301</v>
      </c>
      <c r="B1421" s="114">
        <v>43.2</v>
      </c>
      <c r="C1421" s="114" t="s">
        <v>165</v>
      </c>
    </row>
    <row r="1422" spans="1:3" x14ac:dyDescent="0.25">
      <c r="A1422" s="115">
        <v>42004.628472222197</v>
      </c>
      <c r="B1422" s="114">
        <v>9</v>
      </c>
      <c r="C1422" s="114" t="s">
        <v>164</v>
      </c>
    </row>
    <row r="1423" spans="1:3" x14ac:dyDescent="0.25">
      <c r="A1423" s="115">
        <v>42004.887499999997</v>
      </c>
      <c r="B1423" s="114">
        <v>43.7</v>
      </c>
      <c r="C1423" s="114" t="s">
        <v>165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29</vt:i4>
      </vt:variant>
    </vt:vector>
  </HeadingPairs>
  <TitlesOfParts>
    <vt:vector size="36" baseType="lpstr">
      <vt:lpstr>VAARPLAN</vt:lpstr>
      <vt:lpstr>Tijpoorten</vt:lpstr>
      <vt:lpstr>Routes</vt:lpstr>
      <vt:lpstr>Waypoints</vt:lpstr>
      <vt:lpstr>Scheepstypes</vt:lpstr>
      <vt:lpstr>Statistiek</vt:lpstr>
      <vt:lpstr>Vliss</vt:lpstr>
      <vt:lpstr>AankomstPuntTot</vt:lpstr>
      <vt:lpstr>AfwBath</vt:lpstr>
      <vt:lpstr>AfwVliss</vt:lpstr>
      <vt:lpstr>BOA</vt:lpstr>
      <vt:lpstr>Diepgang</vt:lpstr>
      <vt:lpstr>ETA</vt:lpstr>
      <vt:lpstr>EvalPeriodEnd</vt:lpstr>
      <vt:lpstr>EvalPeriodStart</vt:lpstr>
      <vt:lpstr>GewenstePuntETA</vt:lpstr>
      <vt:lpstr>GMT_wintertijd</vt:lpstr>
      <vt:lpstr>GMT_zomertijd</vt:lpstr>
      <vt:lpstr>IMOnummer</vt:lpstr>
      <vt:lpstr>LOA</vt:lpstr>
      <vt:lpstr>MinPointWindow</vt:lpstr>
      <vt:lpstr>MinTidalRange</vt:lpstr>
      <vt:lpstr>MinWindow</vt:lpstr>
      <vt:lpstr>Opmerking1</vt:lpstr>
      <vt:lpstr>Opmerking2</vt:lpstr>
      <vt:lpstr>Opmerking3</vt:lpstr>
      <vt:lpstr>Scheepsnaam</vt:lpstr>
      <vt:lpstr>SType</vt:lpstr>
      <vt:lpstr>Vaarplan</vt:lpstr>
      <vt:lpstr>VaartMogelijk</vt:lpstr>
      <vt:lpstr>vHaven</vt:lpstr>
      <vt:lpstr>vMix</vt:lpstr>
      <vt:lpstr>vRivier</vt:lpstr>
      <vt:lpstr>vZee</vt:lpstr>
      <vt:lpstr>wintertijd_datum</vt:lpstr>
      <vt:lpstr>zomertijd_datum</vt:lpstr>
    </vt:vector>
  </TitlesOfParts>
  <Company>Gemeenschappelijk Nautisch Beheer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Tijpoort en vaarplan all in one</dc:title>
  <dc:subject>Berekeningen</dc:subject>
  <dc:creator>Patrick Legros</dc:creator>
  <dc:description>incl. Terneuzen + Pas van TN + DD + drempels op zee</dc:description>
  <cp:lastModifiedBy>hvl</cp:lastModifiedBy>
  <cp:lastPrinted>2013-07-25T03:33:50Z</cp:lastPrinted>
  <dcterms:created xsi:type="dcterms:W3CDTF">2004-10-23T22:39:31Z</dcterms:created>
  <dcterms:modified xsi:type="dcterms:W3CDTF">2014-04-10T09:08:28Z</dcterms:modified>
  <cp:category>2008 - versie 001</cp:category>
</cp:coreProperties>
</file>