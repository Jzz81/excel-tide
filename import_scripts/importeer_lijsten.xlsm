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0" yWindow="0" windowWidth="25200" windowHeight="11985"/>
  </bookViews>
  <sheets>
    <sheet name="Blad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8" i="1" l="1"/>
  <c r="D47" i="1"/>
  <c r="D44" i="1"/>
  <c r="D43" i="1"/>
  <c r="D42" i="1"/>
  <c r="D41" i="1"/>
  <c r="D40" i="1"/>
  <c r="D39" i="1"/>
  <c r="D38" i="1"/>
  <c r="D37" i="1"/>
</calcChain>
</file>

<file path=xl/sharedStrings.xml><?xml version="1.0" encoding="utf-8"?>
<sst xmlns="http://schemas.openxmlformats.org/spreadsheetml/2006/main" count="109" uniqueCount="74">
  <si>
    <t>antwerpen</t>
  </si>
  <si>
    <t>LAT=TAW+7,7 (dm)</t>
  </si>
  <si>
    <t>Kallo</t>
  </si>
  <si>
    <t>LAT=TAW+7,6 (dm)</t>
  </si>
  <si>
    <t>Liefskenshoek</t>
  </si>
  <si>
    <t>LAT=TAW+7,2(dm)</t>
  </si>
  <si>
    <t>Prosperpolder</t>
  </si>
  <si>
    <t>LAT=TAW+6,9(dm)</t>
  </si>
  <si>
    <t>GMTw7</t>
  </si>
  <si>
    <t>=</t>
  </si>
  <si>
    <t>GMTz</t>
  </si>
  <si>
    <t>+</t>
  </si>
  <si>
    <t>22min</t>
  </si>
  <si>
    <t>GMTw3</t>
  </si>
  <si>
    <t>14min</t>
  </si>
  <si>
    <t>GMTsw</t>
  </si>
  <si>
    <t>11min</t>
  </si>
  <si>
    <t>GMTs7</t>
  </si>
  <si>
    <t>0min</t>
  </si>
  <si>
    <t>GMTsz</t>
  </si>
  <si>
    <t>-</t>
  </si>
  <si>
    <t>2,7min</t>
  </si>
  <si>
    <t>GMTs3</t>
  </si>
  <si>
    <t>6,67min</t>
  </si>
  <si>
    <t>GMTvg5</t>
  </si>
  <si>
    <t>11,96min</t>
  </si>
  <si>
    <t>GMTvg3</t>
  </si>
  <si>
    <t>17,6min</t>
  </si>
  <si>
    <t>GMTvg1</t>
  </si>
  <si>
    <t>GMTo</t>
  </si>
  <si>
    <t>1min</t>
  </si>
  <si>
    <t>GMTkb</t>
  </si>
  <si>
    <t>8min</t>
  </si>
  <si>
    <t>Rw7</t>
  </si>
  <si>
    <t>(Rz-25,5)*168/167+25,4</t>
  </si>
  <si>
    <t>Rw3</t>
  </si>
  <si>
    <t>(Rz-25,3)*165,8/167+25,4</t>
  </si>
  <si>
    <t>Rsw</t>
  </si>
  <si>
    <t>(Rz-25,3)*165,5/167+25,3</t>
  </si>
  <si>
    <t>Rs7</t>
  </si>
  <si>
    <t>(Rz-25,3)*163,7/167+25,1</t>
  </si>
  <si>
    <t>Rsz</t>
  </si>
  <si>
    <t>(Rz-25,3)*163,1/167+25,1</t>
  </si>
  <si>
    <t>Rs3</t>
  </si>
  <si>
    <t>(Rz-25,3)*160,9/167+24,7</t>
  </si>
  <si>
    <t>Rvg5</t>
  </si>
  <si>
    <t>(Rz-25,3)*159,6/167+24,6</t>
  </si>
  <si>
    <t>Rvg3</t>
  </si>
  <si>
    <t>(Rz-25,3)*157,4/167+24,7</t>
  </si>
  <si>
    <t>Rvg1</t>
  </si>
  <si>
    <t>(Ro-28,1)*158/181+24,6</t>
  </si>
  <si>
    <t>Rkb</t>
  </si>
  <si>
    <t>(Ro-28,1)*168/181+26,1</t>
  </si>
  <si>
    <t>ZB:</t>
  </si>
  <si>
    <t>naam</t>
  </si>
  <si>
    <t>gmt</t>
  </si>
  <si>
    <t>minus</t>
  </si>
  <si>
    <t>factor</t>
  </si>
  <si>
    <t>plus</t>
  </si>
  <si>
    <t>w7</t>
  </si>
  <si>
    <t>w3</t>
  </si>
  <si>
    <t>sw</t>
  </si>
  <si>
    <t>s7</t>
  </si>
  <si>
    <t>sz</t>
  </si>
  <si>
    <t>s3</t>
  </si>
  <si>
    <t>vg5</t>
  </si>
  <si>
    <t>vg3</t>
  </si>
  <si>
    <t>O:</t>
  </si>
  <si>
    <t>vg1</t>
  </si>
  <si>
    <t>kb</t>
  </si>
  <si>
    <t>MET = GMT + 1</t>
  </si>
  <si>
    <t>pas_van_terneuzen is gemiddeld tussen borselle en terneuzen</t>
  </si>
  <si>
    <t>valkenisse is gemiddeld tussen baalhoek en schaar_van_de_noord</t>
  </si>
  <si>
    <t>Ossenisse is gemiddeld tussen Overloop_van_hansweert en terneuzen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</si>
</sst>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0" fontId="0" fillId="0" borderId="0" xfId="0" applyNumberFormat="1"/>
    <xf numFmtId="0" fontId="0" fillId="0" borderId="0" xfId="0" quotePrefix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2</xdr:col>
          <xdr:colOff>447675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hoogwaters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</xdr:row>
          <xdr:rowOff>152400</xdr:rowOff>
        </xdr:from>
        <xdr:to>
          <xdr:col>2</xdr:col>
          <xdr:colOff>457200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10 minutengetij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38100</xdr:rowOff>
        </xdr:from>
        <xdr:to>
          <xdr:col>8</xdr:col>
          <xdr:colOff>247650</xdr:colOff>
          <xdr:row>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Converteer matrix (Belgie)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161925</xdr:rowOff>
        </xdr:from>
        <xdr:to>
          <xdr:col>8</xdr:col>
          <xdr:colOff>257175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Neem gemiddelde van 2 reeksen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6:E52"/>
  <sheetViews>
    <sheetView tabSelected="1" workbookViewId="0">
      <selection activeCell="J10" sqref="J10"/>
    </sheetView>
  </sheetViews>
  <sheetFormatPr defaultRowHeight="15" x14ac:dyDescent="0.25"/>
  <cols>
    <col min="1" max="1" width="15.5703125" bestFit="1" customWidth="1"/>
  </cols>
  <sheetData>
    <row r="6" spans="1:5" x14ac:dyDescent="0.25">
      <c r="A6" t="s">
        <v>70</v>
      </c>
    </row>
    <row r="7" spans="1:5" x14ac:dyDescent="0.25">
      <c r="A7" s="1"/>
    </row>
    <row r="8" spans="1:5" x14ac:dyDescent="0.25">
      <c r="A8" t="s">
        <v>0</v>
      </c>
      <c r="B8" t="s">
        <v>1</v>
      </c>
    </row>
    <row r="9" spans="1:5" x14ac:dyDescent="0.25">
      <c r="A9" t="s">
        <v>2</v>
      </c>
      <c r="B9" t="s">
        <v>3</v>
      </c>
    </row>
    <row r="10" spans="1:5" x14ac:dyDescent="0.25">
      <c r="A10" t="s">
        <v>4</v>
      </c>
      <c r="B10" t="s">
        <v>5</v>
      </c>
    </row>
    <row r="11" spans="1:5" x14ac:dyDescent="0.25">
      <c r="A11" t="s">
        <v>6</v>
      </c>
      <c r="B11" t="s">
        <v>7</v>
      </c>
    </row>
    <row r="13" spans="1:5" x14ac:dyDescent="0.25">
      <c r="A13" t="s">
        <v>8</v>
      </c>
      <c r="B13" s="2" t="s">
        <v>9</v>
      </c>
      <c r="C13" t="s">
        <v>10</v>
      </c>
      <c r="D13" s="2" t="s">
        <v>11</v>
      </c>
      <c r="E13" t="s">
        <v>12</v>
      </c>
    </row>
    <row r="14" spans="1:5" x14ac:dyDescent="0.25">
      <c r="A14" t="s">
        <v>13</v>
      </c>
      <c r="B14" s="2" t="s">
        <v>9</v>
      </c>
      <c r="C14" t="s">
        <v>10</v>
      </c>
      <c r="D14" s="2" t="s">
        <v>11</v>
      </c>
      <c r="E14" t="s">
        <v>14</v>
      </c>
    </row>
    <row r="15" spans="1:5" x14ac:dyDescent="0.25">
      <c r="A15" t="s">
        <v>15</v>
      </c>
      <c r="B15" s="2" t="s">
        <v>9</v>
      </c>
      <c r="C15" t="s">
        <v>10</v>
      </c>
      <c r="D15" s="2" t="s">
        <v>11</v>
      </c>
      <c r="E15" t="s">
        <v>16</v>
      </c>
    </row>
    <row r="16" spans="1:5" x14ac:dyDescent="0.25">
      <c r="A16" t="s">
        <v>17</v>
      </c>
      <c r="B16" s="2" t="s">
        <v>9</v>
      </c>
      <c r="C16" t="s">
        <v>10</v>
      </c>
      <c r="D16" s="2" t="s">
        <v>11</v>
      </c>
      <c r="E16" t="s">
        <v>18</v>
      </c>
    </row>
    <row r="17" spans="1:5" x14ac:dyDescent="0.25">
      <c r="A17" t="s">
        <v>19</v>
      </c>
      <c r="B17" s="2" t="s">
        <v>9</v>
      </c>
      <c r="C17" t="s">
        <v>10</v>
      </c>
      <c r="D17" s="2" t="s">
        <v>20</v>
      </c>
      <c r="E17" t="s">
        <v>21</v>
      </c>
    </row>
    <row r="18" spans="1:5" x14ac:dyDescent="0.25">
      <c r="A18" t="s">
        <v>22</v>
      </c>
      <c r="B18" s="2" t="s">
        <v>9</v>
      </c>
      <c r="C18" t="s">
        <v>10</v>
      </c>
      <c r="D18" s="2" t="s">
        <v>20</v>
      </c>
      <c r="E18" t="s">
        <v>23</v>
      </c>
    </row>
    <row r="19" spans="1:5" x14ac:dyDescent="0.25">
      <c r="A19" t="s">
        <v>24</v>
      </c>
      <c r="B19" s="2" t="s">
        <v>9</v>
      </c>
      <c r="C19" t="s">
        <v>10</v>
      </c>
      <c r="D19" s="2" t="s">
        <v>20</v>
      </c>
      <c r="E19" t="s">
        <v>25</v>
      </c>
    </row>
    <row r="20" spans="1:5" x14ac:dyDescent="0.25">
      <c r="A20" t="s">
        <v>26</v>
      </c>
      <c r="B20" s="2" t="s">
        <v>9</v>
      </c>
      <c r="C20" t="s">
        <v>10</v>
      </c>
      <c r="D20" s="2" t="s">
        <v>20</v>
      </c>
      <c r="E20" t="s">
        <v>27</v>
      </c>
    </row>
    <row r="21" spans="1:5" x14ac:dyDescent="0.25">
      <c r="A21" t="s">
        <v>28</v>
      </c>
      <c r="B21" s="2" t="s">
        <v>9</v>
      </c>
      <c r="C21" t="s">
        <v>29</v>
      </c>
      <c r="D21" s="2" t="s">
        <v>20</v>
      </c>
      <c r="E21" t="s">
        <v>30</v>
      </c>
    </row>
    <row r="22" spans="1:5" x14ac:dyDescent="0.25">
      <c r="A22" t="s">
        <v>31</v>
      </c>
      <c r="B22" s="2" t="s">
        <v>9</v>
      </c>
      <c r="C22" t="s">
        <v>29</v>
      </c>
      <c r="D22" s="2" t="s">
        <v>20</v>
      </c>
      <c r="E22" t="s">
        <v>32</v>
      </c>
    </row>
    <row r="23" spans="1:5" x14ac:dyDescent="0.25">
      <c r="B23" s="2"/>
      <c r="D23" s="2"/>
    </row>
    <row r="24" spans="1:5" x14ac:dyDescent="0.25">
      <c r="A24" t="s">
        <v>33</v>
      </c>
      <c r="B24" s="2" t="s">
        <v>9</v>
      </c>
      <c r="C24" s="2" t="s">
        <v>34</v>
      </c>
      <c r="D24" s="2"/>
    </row>
    <row r="25" spans="1:5" x14ac:dyDescent="0.25">
      <c r="A25" t="s">
        <v>35</v>
      </c>
      <c r="B25" s="2" t="s">
        <v>9</v>
      </c>
      <c r="C25" s="2" t="s">
        <v>36</v>
      </c>
    </row>
    <row r="26" spans="1:5" x14ac:dyDescent="0.25">
      <c r="A26" t="s">
        <v>37</v>
      </c>
      <c r="B26" s="2" t="s">
        <v>9</v>
      </c>
      <c r="C26" s="2" t="s">
        <v>38</v>
      </c>
    </row>
    <row r="27" spans="1:5" x14ac:dyDescent="0.25">
      <c r="A27" t="s">
        <v>39</v>
      </c>
      <c r="B27" s="2" t="s">
        <v>9</v>
      </c>
      <c r="C27" s="2" t="s">
        <v>40</v>
      </c>
    </row>
    <row r="28" spans="1:5" x14ac:dyDescent="0.25">
      <c r="A28" t="s">
        <v>41</v>
      </c>
      <c r="B28" s="2" t="s">
        <v>9</v>
      </c>
      <c r="C28" s="2" t="s">
        <v>42</v>
      </c>
    </row>
    <row r="29" spans="1:5" x14ac:dyDescent="0.25">
      <c r="A29" t="s">
        <v>43</v>
      </c>
      <c r="B29" s="2" t="s">
        <v>9</v>
      </c>
      <c r="C29" s="2" t="s">
        <v>44</v>
      </c>
    </row>
    <row r="30" spans="1:5" x14ac:dyDescent="0.25">
      <c r="A30" t="s">
        <v>45</v>
      </c>
      <c r="B30" s="2" t="s">
        <v>9</v>
      </c>
      <c r="C30" s="2" t="s">
        <v>46</v>
      </c>
    </row>
    <row r="31" spans="1:5" x14ac:dyDescent="0.25">
      <c r="A31" t="s">
        <v>47</v>
      </c>
      <c r="B31" s="2" t="s">
        <v>9</v>
      </c>
      <c r="C31" s="2" t="s">
        <v>48</v>
      </c>
    </row>
    <row r="32" spans="1:5" x14ac:dyDescent="0.25">
      <c r="A32" t="s">
        <v>49</v>
      </c>
      <c r="B32" s="2" t="s">
        <v>9</v>
      </c>
      <c r="C32" s="2" t="s">
        <v>50</v>
      </c>
    </row>
    <row r="33" spans="1:5" x14ac:dyDescent="0.25">
      <c r="A33" t="s">
        <v>51</v>
      </c>
      <c r="B33" s="2" t="s">
        <v>9</v>
      </c>
      <c r="C33" s="2" t="s">
        <v>52</v>
      </c>
    </row>
    <row r="35" spans="1:5" x14ac:dyDescent="0.25">
      <c r="A35" t="s">
        <v>53</v>
      </c>
    </row>
    <row r="36" spans="1:5" x14ac:dyDescent="0.25">
      <c r="A36" t="s">
        <v>54</v>
      </c>
      <c r="B36" t="s">
        <v>55</v>
      </c>
      <c r="C36" t="s">
        <v>56</v>
      </c>
      <c r="D36" t="s">
        <v>57</v>
      </c>
      <c r="E36" t="s">
        <v>58</v>
      </c>
    </row>
    <row r="37" spans="1:5" x14ac:dyDescent="0.25">
      <c r="A37" t="s">
        <v>59</v>
      </c>
      <c r="B37">
        <v>22</v>
      </c>
      <c r="C37">
        <v>25.5</v>
      </c>
      <c r="D37">
        <f>168/167</f>
        <v>1.0059880239520957</v>
      </c>
      <c r="E37">
        <v>25.4</v>
      </c>
    </row>
    <row r="38" spans="1:5" x14ac:dyDescent="0.25">
      <c r="A38" t="s">
        <v>60</v>
      </c>
      <c r="B38">
        <v>14</v>
      </c>
      <c r="C38">
        <v>25.3</v>
      </c>
      <c r="D38">
        <f>165.8/167</f>
        <v>0.99281437125748506</v>
      </c>
      <c r="E38">
        <v>25.4</v>
      </c>
    </row>
    <row r="39" spans="1:5" x14ac:dyDescent="0.25">
      <c r="A39" t="s">
        <v>61</v>
      </c>
      <c r="B39">
        <v>11</v>
      </c>
      <c r="C39">
        <v>25.3</v>
      </c>
      <c r="D39">
        <f>165.5/167</f>
        <v>0.99101796407185627</v>
      </c>
      <c r="E39">
        <v>25.3</v>
      </c>
    </row>
    <row r="40" spans="1:5" x14ac:dyDescent="0.25">
      <c r="A40" t="s">
        <v>62</v>
      </c>
      <c r="B40">
        <v>0</v>
      </c>
      <c r="C40">
        <v>25.3</v>
      </c>
      <c r="D40">
        <f>163.7/167</f>
        <v>0.98023952095808375</v>
      </c>
      <c r="E40">
        <v>25.1</v>
      </c>
    </row>
    <row r="41" spans="1:5" x14ac:dyDescent="0.25">
      <c r="A41" t="s">
        <v>63</v>
      </c>
      <c r="B41">
        <v>-2.7</v>
      </c>
      <c r="C41">
        <v>25.3</v>
      </c>
      <c r="D41">
        <f>163.1/167</f>
        <v>0.97664670658682629</v>
      </c>
      <c r="E41">
        <v>25.1</v>
      </c>
    </row>
    <row r="42" spans="1:5" x14ac:dyDescent="0.25">
      <c r="A42" t="s">
        <v>64</v>
      </c>
      <c r="B42">
        <v>-6.67</v>
      </c>
      <c r="C42">
        <v>25.3</v>
      </c>
      <c r="D42">
        <f>160.9/167</f>
        <v>0.9634730538922156</v>
      </c>
      <c r="E42">
        <v>24.7</v>
      </c>
    </row>
    <row r="43" spans="1:5" x14ac:dyDescent="0.25">
      <c r="A43" t="s">
        <v>65</v>
      </c>
      <c r="B43">
        <v>-11.96</v>
      </c>
      <c r="C43">
        <v>25.3</v>
      </c>
      <c r="D43">
        <f>159.6/167</f>
        <v>0.95568862275449096</v>
      </c>
      <c r="E43">
        <v>24.6</v>
      </c>
    </row>
    <row r="44" spans="1:5" x14ac:dyDescent="0.25">
      <c r="A44" t="s">
        <v>66</v>
      </c>
      <c r="B44">
        <v>-17.600000000000001</v>
      </c>
      <c r="C44">
        <v>25.3</v>
      </c>
      <c r="D44">
        <f>157.4/167</f>
        <v>0.94251497005988027</v>
      </c>
      <c r="E44">
        <v>24.7</v>
      </c>
    </row>
    <row r="46" spans="1:5" x14ac:dyDescent="0.25">
      <c r="A46" t="s">
        <v>67</v>
      </c>
    </row>
    <row r="47" spans="1:5" x14ac:dyDescent="0.25">
      <c r="A47" t="s">
        <v>68</v>
      </c>
      <c r="B47">
        <v>-1</v>
      </c>
      <c r="C47">
        <v>28.1</v>
      </c>
      <c r="D47">
        <f>158/181</f>
        <v>0.8729281767955801</v>
      </c>
      <c r="E47">
        <v>24.6</v>
      </c>
    </row>
    <row r="48" spans="1:5" x14ac:dyDescent="0.25">
      <c r="A48" t="s">
        <v>69</v>
      </c>
      <c r="B48">
        <v>-8</v>
      </c>
      <c r="C48">
        <v>28.1</v>
      </c>
      <c r="D48">
        <f>168/181</f>
        <v>0.92817679558011046</v>
      </c>
      <c r="E48">
        <v>26.1</v>
      </c>
    </row>
    <row r="50" spans="1:1" x14ac:dyDescent="0.25">
      <c r="A50" t="s">
        <v>73</v>
      </c>
    </row>
    <row r="51" spans="1:1" x14ac:dyDescent="0.25">
      <c r="A51" t="s">
        <v>71</v>
      </c>
    </row>
    <row r="52" spans="1:1" x14ac:dyDescent="0.25">
      <c r="A52" t="s">
        <v>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hw_list_form_load">
                <anchor moveWithCells="1">
                  <from>
                    <xdr:col>0</xdr:col>
                    <xdr:colOff>419100</xdr:colOff>
                    <xdr:row>1</xdr:row>
                    <xdr:rowOff>47625</xdr:rowOff>
                  </from>
                  <to>
                    <xdr:col>2</xdr:col>
                    <xdr:colOff>447675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rise_list_form_load">
                <anchor moveWithCells="1">
                  <from>
                    <xdr:col>0</xdr:col>
                    <xdr:colOff>428625</xdr:colOff>
                    <xdr:row>2</xdr:row>
                    <xdr:rowOff>152400</xdr:rowOff>
                  </from>
                  <to>
                    <xdr:col>2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trix_converse_form_load">
                <anchor moveWithCells="1">
                  <from>
                    <xdr:col>4</xdr:col>
                    <xdr:colOff>200025</xdr:colOff>
                    <xdr:row>1</xdr:row>
                    <xdr:rowOff>38100</xdr:rowOff>
                  </from>
                  <to>
                    <xdr:col>8</xdr:col>
                    <xdr:colOff>247650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_mean_form_load">
                <anchor moveWithCells="1">
                  <from>
                    <xdr:col>4</xdr:col>
                    <xdr:colOff>209550</xdr:colOff>
                    <xdr:row>2</xdr:row>
                    <xdr:rowOff>161925</xdr:rowOff>
                  </from>
                  <to>
                    <xdr:col>8</xdr:col>
                    <xdr:colOff>257175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2015-06-09T11:55:09Z</dcterms:created>
  <dcterms:modified xsi:type="dcterms:W3CDTF">2015-11-27T12:12:27Z</dcterms:modified>
</cp:coreProperties>
</file>