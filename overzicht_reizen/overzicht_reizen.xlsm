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a7a72b15cad48a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statistiek" sheetId="5" r:id="rId2"/>
    <sheet name="Historie Opvaart" sheetId="6" r:id="rId3"/>
    <sheet name="afwijkingen" sheetId="3" state="hidden" r:id="rId4"/>
    <sheet name="Air clearance" sheetId="4" state="hidden" r:id="rId5"/>
    <sheet name="Historie Afvaart" sheetId="7" r:id="rId6"/>
    <sheet name="Historie Verhaling " sheetId="8" r:id="rId7"/>
    <sheet name="data" sheetId="2" state="hidden" r:id="rId8"/>
  </sheets>
  <definedNames>
    <definedName name="afvaart_kop">'overzicht reizen'!$B$21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reizen'!$B$35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E3" i="4"/>
  <c r="D3" i="4"/>
  <c r="C3" i="4"/>
  <c r="B3" i="4"/>
  <c r="F2" i="4"/>
  <c r="E2" i="4"/>
  <c r="D2" i="4"/>
  <c r="C2" i="4"/>
  <c r="B2" i="4"/>
  <c r="B1" i="1"/>
  <c r="B1" i="4" s="1"/>
</calcChain>
</file>

<file path=xl/sharedStrings.xml><?xml version="1.0" encoding="utf-8"?>
<sst xmlns="http://schemas.openxmlformats.org/spreadsheetml/2006/main" count="716" uniqueCount="342">
  <si>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</si>
  <si>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</si>
  <si>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</si>
  <si>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</si>
  <si>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</si>
  <si>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</si>
  <si>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</si>
  <si>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</si>
  <si>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</si>
  <si>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</si>
  <si>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</si>
  <si>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</si>
  <si>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</si>
  <si>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</si>
  <si>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</si>
  <si>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</si>
  <si>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</si>
  <si>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</si>
  <si>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</si>
  <si>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</si>
  <si>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</si>
  <si>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</si>
  <si>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</si>
  <si>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</si>
  <si>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</si>
  <si>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</si>
  <si>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</si>
  <si>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</si>
  <si>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</si>
  <si>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</si>
  <si>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</si>
  <si>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</si>
  <si>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</si>
  <si>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</si>
  <si>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</si>
  <si>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</si>
  <si>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</si>
  <si>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</si>
  <si>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</si>
  <si>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</si>
  <si>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</si>
  <si>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</si>
  <si>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</si>
  <si>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</si>
  <si>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</si>
  <si>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</si>
  <si>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</si>
  <si>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</si>
  <si>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</si>
  <si>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</si>
  <si>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</si>
  <si>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</si>
  <si>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</si>
  <si>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</si>
  <si>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</si>
  <si>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</si>
  <si>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</si>
  <si>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</si>
  <si>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</si>
  <si>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</si>
  <si>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</si>
  <si>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</si>
  <si>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</si>
  <si>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</si>
  <si>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</si>
  <si>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</si>
  <si>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</si>
  <si>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</si>
  <si>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</si>
  <si>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</si>
  <si>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</si>
  <si>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</si>
  <si>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</si>
  <si>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</si>
  <si>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</si>
  <si>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</si>
  <si>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</si>
  <si>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</si>
  <si>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</si>
  <si>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</si>
  <si>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</si>
  <si>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</si>
  <si>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</si>
  <si>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</si>
  <si>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</si>
  <si>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</si>
  <si>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</si>
  <si>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</si>
  <si>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</si>
  <si>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</si>
  <si>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</si>
  <si>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</si>
  <si>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</si>
  <si>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</si>
  <si>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</si>
  <si>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</si>
  <si>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</si>
  <si>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</si>
  <si>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</si>
  <si>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</si>
  <si>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</si>
  <si>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</si>
  <si>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</si>
  <si>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</si>
  <si>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</si>
  <si>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</si>
  <si>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</si>
  <si>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</si>
  <si>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</si>
  <si>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</si>
  <si>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</si>
  <si>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</si>
  <si>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</si>
  <si>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</si>
  <si>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</si>
  <si>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</si>
  <si>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</si>
  <si>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</si>
  <si>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</si>
  <si>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</si>
  <si>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</si>
  <si>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</si>
  <si>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</si>
  <si>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</si>
  <si>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</si>
  <si>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</si>
  <si>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</si>
  <si>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</si>
  <si>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</si>
  <si>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</si>
  <si>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</si>
  <si>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</si>
  <si>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</si>
  <si>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</si>
  <si>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</si>
  <si>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</si>
  <si>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</si>
  <si>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</si>
  <si>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</si>
  <si>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</si>
  <si>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</si>
  <si>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</si>
  <si>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</si>
  <si>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</si>
  <si>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</si>
  <si>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</si>
  <si>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</si>
  <si>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</si>
  <si>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</si>
  <si>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</si>
  <si>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</si>
  <si>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</si>
  <si>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</si>
  <si>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</si>
  <si>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</si>
  <si>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</si>
  <si>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</si>
  <si>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</si>
  <si>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</si>
  <si>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SB-WR-DD</t>
  </si>
  <si>
    <t>DD ingang</t>
  </si>
  <si>
    <t>Zandvliet</t>
  </si>
  <si>
    <t>WN</t>
  </si>
  <si>
    <t>totaal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</si>
  <si>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</si>
  <si>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</si>
  <si>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</si>
  <si>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</si>
  <si>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</si>
  <si>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</si>
  <si>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</si>
  <si>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</si>
  <si>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</si>
  <si>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</si>
  <si>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</si>
  <si>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</si>
  <si>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</si>
  <si>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</si>
  <si>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</si>
  <si>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</si>
  <si>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</si>
  <si>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</si>
  <si>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</si>
  <si>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</si>
  <si>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</si>
  <si>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</si>
  <si>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</si>
  <si>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</si>
  <si>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</si>
  <si>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per startpunt</t>
  </si>
  <si>
    <t>per scheepstype</t>
  </si>
  <si>
    <t>container</t>
  </si>
  <si>
    <t>VG1</t>
  </si>
  <si>
    <t>VG3</t>
  </si>
  <si>
    <t>ata</t>
  </si>
  <si>
    <t>WN-DD</t>
  </si>
  <si>
    <t>MSC MYKONOS</t>
  </si>
  <si>
    <t>ZV-WN</t>
  </si>
  <si>
    <t>MSC Alghero</t>
  </si>
  <si>
    <t>cosco france</t>
  </si>
  <si>
    <t>MSC Maria Saveria</t>
  </si>
  <si>
    <t>Manasota</t>
  </si>
  <si>
    <t>WN-AEA</t>
  </si>
  <si>
    <t>3,0</t>
  </si>
  <si>
    <t>SB</t>
  </si>
  <si>
    <t>MSC SHANGHAI</t>
  </si>
  <si>
    <t>SB-WR-ZC</t>
  </si>
  <si>
    <t>WN-ZC</t>
  </si>
  <si>
    <t>Zandvliet Sluizen</t>
  </si>
  <si>
    <t>MSC VIDHI</t>
  </si>
  <si>
    <t>Zeebrugge</t>
  </si>
  <si>
    <t>6,0</t>
  </si>
  <si>
    <t>Gebruikte afwijkingen</t>
  </si>
  <si>
    <t>Zeebrugge:</t>
  </si>
  <si>
    <t>Vlissingen:</t>
  </si>
  <si>
    <t>Hansweert:</t>
  </si>
  <si>
    <t>Bath:</t>
  </si>
  <si>
    <t>Tijongebonden</t>
  </si>
  <si>
    <t>snelheid</t>
  </si>
  <si>
    <t>140,0</t>
  </si>
  <si>
    <t>14 (10%)</t>
  </si>
  <si>
    <t>9,0</t>
  </si>
  <si>
    <t>17,5 (12,5%)</t>
  </si>
  <si>
    <t>13,5</t>
  </si>
  <si>
    <t>21 (15%)</t>
  </si>
  <si>
    <t>13,0</t>
  </si>
  <si>
    <t>8,0</t>
  </si>
  <si>
    <t>7,0</t>
  </si>
  <si>
    <t>SB-Vlissingen</t>
  </si>
  <si>
    <t>Vlissingen-CP</t>
  </si>
  <si>
    <t>CP-Zandvliet Sluizen</t>
  </si>
  <si>
    <t>per eindpunt</t>
  </si>
  <si>
    <t>geen reizen</t>
  </si>
  <si>
    <t>AEA</t>
  </si>
  <si>
    <t>Bulkcarrier</t>
  </si>
  <si>
    <t>CP-DD ingang</t>
  </si>
  <si>
    <t>WN-Vlissingen</t>
  </si>
  <si>
    <t>Vlissingen-AEA</t>
  </si>
  <si>
    <t>CP-Vlissingen</t>
  </si>
  <si>
    <t>Vlissingen-WN</t>
  </si>
  <si>
    <t>Gemiddelde snelheden per segment</t>
  </si>
  <si>
    <t>Tijpoort:</t>
  </si>
  <si>
    <t>1,0</t>
  </si>
  <si>
    <t>MSC CLARA</t>
  </si>
  <si>
    <t>DD-WN</t>
  </si>
  <si>
    <t>2015 (totaal van geslaagde vaarplannen: 5, totaal van mislukte vaarplannen: 0)</t>
  </si>
  <si>
    <t>2016 (totaal van geslaagde vaarplannen: 3, totaal van mislukte vaarplannen: 0)</t>
  </si>
  <si>
    <t>Succesvolle vaarplannen:</t>
  </si>
  <si>
    <t>105dm</t>
  </si>
  <si>
    <t>120dm</t>
  </si>
  <si>
    <t>130dm</t>
  </si>
  <si>
    <t>140dm</t>
  </si>
  <si>
    <t>155dm</t>
  </si>
  <si>
    <t>141dm</t>
  </si>
  <si>
    <t>30-12-15</t>
  </si>
  <si>
    <t>29-12-15</t>
  </si>
  <si>
    <t>28-12-15</t>
  </si>
  <si>
    <t>TESTSCHIP</t>
  </si>
  <si>
    <t>YM WARMTH</t>
  </si>
  <si>
    <t>NT-WN</t>
  </si>
  <si>
    <t>MSC ALGHERO</t>
  </si>
  <si>
    <t>DD-DD</t>
  </si>
  <si>
    <t>WN-VS</t>
  </si>
  <si>
    <t>288,9</t>
  </si>
  <si>
    <t>2,0</t>
  </si>
  <si>
    <t>130,0</t>
  </si>
  <si>
    <t>294,1</t>
  </si>
  <si>
    <t>13 (10%)</t>
  </si>
  <si>
    <t>16,2 (12,5%)</t>
  </si>
  <si>
    <t>0,3</t>
  </si>
  <si>
    <t>1,3</t>
  </si>
  <si>
    <t>2,3</t>
  </si>
  <si>
    <t>19,5 (15%)</t>
  </si>
  <si>
    <t>1,5</t>
  </si>
  <si>
    <t>COSCO FRANCE</t>
  </si>
  <si>
    <t>SB-WR-VS</t>
  </si>
  <si>
    <t>AQUABREEZE</t>
  </si>
  <si>
    <t>YM WELLNESS</t>
  </si>
  <si>
    <t>KAMOME VICTORIA</t>
  </si>
  <si>
    <t>ZC-WN</t>
  </si>
  <si>
    <t>SKS DARENT</t>
  </si>
  <si>
    <t>COSCO PRIDE</t>
  </si>
  <si>
    <t>MSC MANDRAKI</t>
  </si>
  <si>
    <t>ZC-DD</t>
  </si>
  <si>
    <t>INDIAN POINT</t>
  </si>
  <si>
    <t>MSC ALBANY</t>
  </si>
  <si>
    <t>ER INDIA</t>
  </si>
  <si>
    <t>WN-ET</t>
  </si>
  <si>
    <t>ER PUSAN</t>
  </si>
  <si>
    <t>ZC-SB</t>
  </si>
  <si>
    <t>CHAMPION EBONY</t>
  </si>
  <si>
    <t>MAERSK KARSLKRONA</t>
  </si>
  <si>
    <t>MSC LOS ANGELES</t>
  </si>
  <si>
    <t>,0</t>
  </si>
  <si>
    <t>-1,0</t>
  </si>
  <si>
    <t>05-02 17:31(LW)</t>
  </si>
  <si>
    <t>05-02 18:06(LW)</t>
  </si>
  <si>
    <t>05-02 18:56(LW)</t>
  </si>
  <si>
    <t>05-02 19:16(LW)</t>
  </si>
  <si>
    <t>33,8</t>
  </si>
  <si>
    <t>32,8</t>
  </si>
  <si>
    <t>31,8</t>
  </si>
  <si>
    <t>300,0</t>
  </si>
  <si>
    <t>06-02 18:16(LW)</t>
  </si>
  <si>
    <t>07-02 00:29(HW)</t>
  </si>
  <si>
    <t>06-02 18:50(LW)</t>
  </si>
  <si>
    <t>-2,0</t>
  </si>
  <si>
    <t>07-02 00:56(HW)</t>
  </si>
  <si>
    <t>06-02 19:45(LW)</t>
  </si>
  <si>
    <t>07-02 01:48(HW)</t>
  </si>
  <si>
    <t>06-02 20:12(LW)</t>
  </si>
  <si>
    <t>07-02 02:17(HW)</t>
  </si>
  <si>
    <t>34,9</t>
  </si>
  <si>
    <t>Frederiek</t>
  </si>
  <si>
    <t>DD rivier</t>
  </si>
  <si>
    <t>34,8</t>
  </si>
  <si>
    <t>37,8</t>
  </si>
  <si>
    <t>35,8</t>
  </si>
  <si>
    <t>05-02 23:45(HW)</t>
  </si>
  <si>
    <t>06-02 06:02(LW)</t>
  </si>
  <si>
    <t>06-02 12:06(HW)</t>
  </si>
  <si>
    <t>06-02 00:16(HW)</t>
  </si>
  <si>
    <t>06-02 06:25(LW)</t>
  </si>
  <si>
    <t>06-02 12:36(HW)</t>
  </si>
  <si>
    <t>06-02 01:00(HW)</t>
  </si>
  <si>
    <t>06-02 07:20(LW)</t>
  </si>
  <si>
    <t>06-02 13:26(HW)</t>
  </si>
  <si>
    <t>06-02 01:26(HW)</t>
  </si>
  <si>
    <t>06-02 07:46(LW)</t>
  </si>
  <si>
    <t>06-02 13:47(HW)</t>
  </si>
  <si>
    <t>162,5</t>
  </si>
  <si>
    <t>24,4 (15%)</t>
  </si>
  <si>
    <t>27,9</t>
  </si>
  <si>
    <t>26,9</t>
  </si>
  <si>
    <t>28,9</t>
  </si>
  <si>
    <t>33,9</t>
  </si>
  <si>
    <t>31,9</t>
  </si>
  <si>
    <t>38,9</t>
  </si>
  <si>
    <t>41,9</t>
  </si>
  <si>
    <t>20,3 (12,5%)</t>
  </si>
  <si>
    <t>36,8</t>
  </si>
  <si>
    <t>16,2 (10%)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</si>
</sst>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h:mm;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A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6" fontId="2" fillId="5" borderId="1" xfId="0" applyNumberFormat="1" applyFont="1" applyFill="1" applyBorder="1" applyAlignment="1"/>
    <xf numFmtId="166" fontId="0" fillId="2" borderId="0" xfId="0" applyNumberFormat="1" applyFill="1" applyBorder="1"/>
    <xf numFmtId="166" fontId="0" fillId="4" borderId="0" xfId="0" applyNumberFormat="1" applyFill="1" applyBorder="1"/>
    <xf numFmtId="166" fontId="0" fillId="3" borderId="0" xfId="0" applyNumberFormat="1" applyFill="1" applyBorder="1"/>
    <xf numFmtId="166" fontId="0" fillId="0" borderId="0" xfId="0" applyNumberFormat="1" applyFill="1" applyBorder="1"/>
    <xf numFmtId="166" fontId="0" fillId="6" borderId="0" xfId="0" applyNumberFormat="1" applyFill="1" applyBorder="1"/>
    <xf numFmtId="166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0" fontId="0" fillId="7" borderId="5" xfId="0" applyFill="1" applyBorder="1"/>
    <xf numFmtId="0" fontId="0" fillId="8" borderId="0" xfId="0" applyFill="1"/>
    <xf numFmtId="0" fontId="0" fillId="8" borderId="6" xfId="0" applyFill="1" applyBorder="1"/>
    <xf numFmtId="0" fontId="5" fillId="0" borderId="5" xfId="0" applyFont="1" applyBorder="1"/>
    <xf numFmtId="0" fontId="0" fillId="0" borderId="5" xfId="0" applyBorder="1"/>
    <xf numFmtId="0" fontId="0" fillId="0" borderId="1" xfId="0" applyFill="1" applyBorder="1"/>
    <xf numFmtId="14" fontId="0" fillId="4" borderId="0" xfId="0" applyNumberFormat="1" applyFill="1" applyBorder="1"/>
    <xf numFmtId="14" fontId="0" fillId="0" borderId="0" xfId="0" applyNumberFormat="1" applyFill="1" applyBorder="1"/>
    <xf numFmtId="0" fontId="0" fillId="0" borderId="1" xfId="0" applyFill="1" applyBorder="1" applyAlignment="1">
      <alignment horizontal="left"/>
    </xf>
    <xf numFmtId="1" fontId="0" fillId="0" borderId="2" xfId="0" applyNumberFormat="1" applyFill="1" applyBorder="1"/>
    <xf numFmtId="0" fontId="0" fillId="9" borderId="0" xfId="0" applyFill="1" applyBorder="1"/>
    <xf numFmtId="22" fontId="0" fillId="9" borderId="0" xfId="0" applyNumberFormat="1" applyFill="1" applyBorder="1"/>
    <xf numFmtId="0" fontId="0" fillId="0" borderId="0" xfId="0" applyFill="1" applyBorder="1" applyAlignment="1">
      <alignment horizontal="right"/>
    </xf>
    <xf numFmtId="22" fontId="0" fillId="9" borderId="0" xfId="0" applyNumberFormat="1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7" xfId="0" applyFill="1" applyBorder="1"/>
    <xf numFmtId="0" fontId="0" fillId="0" borderId="7" xfId="0" applyFill="1" applyBorder="1" applyAlignment="1">
      <alignment horizontal="right"/>
    </xf>
    <xf numFmtId="22" fontId="0" fillId="0" borderId="7" xfId="0" applyNumberFormat="1" applyFill="1" applyBorder="1"/>
    <xf numFmtId="0" fontId="0" fillId="0" borderId="8" xfId="0" applyFill="1" applyBorder="1"/>
    <xf numFmtId="0" fontId="0" fillId="0" borderId="9" xfId="0" applyFill="1" applyBorder="1"/>
    <xf numFmtId="22" fontId="0" fillId="0" borderId="7" xfId="0" applyNumberFormat="1" applyFill="1" applyBorder="1" applyAlignment="1">
      <alignment horizontal="left"/>
    </xf>
    <xf numFmtId="0" fontId="0" fillId="0" borderId="0" xfId="0" applyBorder="1" applyAlignment="1">
      <alignment horizontal="left"/>
    </xf>
    <xf numFmtId="22" fontId="0" fillId="0" borderId="7" xfId="0" applyNumberFormat="1" applyFill="1" applyBorder="1" applyAlignment="1">
      <alignment horizontal="right"/>
    </xf>
    <xf numFmtId="0" fontId="0" fillId="10" borderId="0" xfId="0" applyFill="1"/>
    <xf numFmtId="0" fontId="0" fillId="10" borderId="6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10" xfId="0" applyFont="1" applyBorder="1"/>
    <xf numFmtId="0" fontId="7" fillId="0" borderId="0" xfId="0" applyFont="1"/>
    <xf numFmtId="22" fontId="0" fillId="0" borderId="1" xfId="0" applyNumberFormat="1" applyFill="1" applyBorder="1" applyAlignment="1">
      <alignment horizontal="left"/>
    </xf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6" fontId="0" fillId="0" borderId="4" xfId="0" applyNumberFormat="1" applyFill="1" applyBorder="1"/>
    <xf numFmtId="0" fontId="0" fillId="11" borderId="0" xfId="0" applyFill="1" applyBorder="1"/>
    <xf numFmtId="22" fontId="0" fillId="11" borderId="0" xfId="0" applyNumberFormat="1" applyFill="1" applyBorder="1"/>
    <xf numFmtId="22" fontId="0" fillId="11" borderId="0" xfId="0" applyNumberFormat="1" applyFill="1" applyBorder="1" applyAlignment="1">
      <alignment horizontal="right"/>
    </xf>
    <xf numFmtId="22" fontId="0" fillId="12" borderId="7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right"/>
    </xf>
    <xf numFmtId="1" fontId="0" fillId="4" borderId="2" xfId="0" applyNumberFormat="1" applyFill="1" applyBorder="1"/>
    <xf numFmtId="22" fontId="0" fillId="13" borderId="0" xfId="0" applyNumberFormat="1" applyFill="1" applyBorder="1" applyAlignment="1">
      <alignment horizontal="left"/>
    </xf>
    <xf numFmtId="22" fontId="0" fillId="12" borderId="7" xfId="0" applyNumberFormat="1" applyFill="1" applyBorder="1" applyAlignment="1">
      <alignment horizontal="left"/>
    </xf>
    <xf numFmtId="0" fontId="0" fillId="4" borderId="3" xfId="0" applyFill="1" applyBorder="1"/>
    <xf numFmtId="22" fontId="0" fillId="4" borderId="4" xfId="0" applyNumberFormat="1" applyFill="1" applyBorder="1"/>
    <xf numFmtId="22" fontId="0" fillId="0" borderId="0" xfId="0" applyNumberFormat="1" applyFill="1"/>
    <xf numFmtId="0" fontId="0" fillId="11" borderId="0" xfId="0" applyFill="1" applyBorder="1" applyAlignment="1">
      <alignment horizontal="left"/>
    </xf>
    <xf numFmtId="22" fontId="0" fillId="11" borderId="0" xfId="0" applyNumberFormat="1" applyFill="1" applyBorder="1" applyAlignment="1">
      <alignment horizontal="left"/>
    </xf>
    <xf numFmtId="1" fontId="0" fillId="11" borderId="0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0" fontId="0" fillId="0" borderId="7" xfId="0" applyFill="1" applyBorder="1" applyAlignment="1">
      <alignment horizontal="left"/>
    </xf>
    <xf numFmtId="1" fontId="0" fillId="0" borderId="7" xfId="0" applyNumberFormat="1" applyFill="1" applyBorder="1" applyAlignment="1">
      <alignment horizontal="left"/>
    </xf>
    <xf numFmtId="165" fontId="0" fillId="0" borderId="7" xfId="0" applyNumberFormat="1" applyFill="1" applyBorder="1" applyAlignment="1">
      <alignment horizontal="left"/>
    </xf>
    <xf numFmtId="164" fontId="0" fillId="0" borderId="7" xfId="0" applyNumberFormat="1" applyFill="1" applyBorder="1" applyAlignment="1">
      <alignment horizontal="left"/>
    </xf>
    <xf numFmtId="164" fontId="0" fillId="0" borderId="7" xfId="0" applyNumberFormat="1" applyFill="1" applyBorder="1" applyAlignment="1">
      <alignment horizontal="right"/>
    </xf>
    <xf numFmtId="164" fontId="0" fillId="0" borderId="8" xfId="0" applyNumberFormat="1" applyFill="1" applyBorder="1" applyAlignment="1">
      <alignment horizontal="right"/>
    </xf>
    <xf numFmtId="0" fontId="0" fillId="0" borderId="16" xfId="0" applyFill="1" applyBorder="1" applyAlignment="1">
      <alignment horizontal="left"/>
    </xf>
    <xf numFmtId="164" fontId="0" fillId="12" borderId="0" xfId="0" applyNumberFormat="1" applyFill="1" applyBorder="1" applyAlignment="1">
      <alignment horizontal="left"/>
    </xf>
    <xf numFmtId="0" fontId="0" fillId="0" borderId="7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10" borderId="6" xfId="0" applyFill="1" applyBorder="1" applyAlignment="1">
      <alignment horizontal="left"/>
    </xf>
    <xf numFmtId="0" fontId="0" fillId="8" borderId="6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64" fontId="0" fillId="12" borderId="0" xfId="0" applyNumberFormat="1" applyFill="1" applyBorder="1" applyAlignment="1">
      <alignment horizontal="righ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statistiek!$B$5:$B$6</c:f>
              <c:strCache>
                <c:ptCount val="2"/>
                <c:pt idx="0">
                  <c:v>DD ingang</c:v>
                </c:pt>
                <c:pt idx="1">
                  <c:v>Zandvliet Sluizen</c:v>
                </c:pt>
              </c:strCache>
            </c:strRef>
          </c:cat>
          <c:val>
            <c:numRef>
              <c:f>statistiek!$C$5:$C$6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statistiek!$H$5:$H$6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statistiek!$O$5:$O$6</c:f>
              <c:strCache>
                <c:ptCount val="2"/>
                <c:pt idx="0">
                  <c:v>AEA</c:v>
                </c:pt>
                <c:pt idx="1">
                  <c:v>DD ingang</c:v>
                </c:pt>
              </c:strCache>
            </c:strRef>
          </c:cat>
          <c:val>
            <c:numRef>
              <c:f>statistiek!$P$5:$P$6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statistiek!$T$5:$T$6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statistiek!$U$5:$U$6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statistiek!$Y$5:$Y$6</c:f>
              <c:strCache>
                <c:ptCount val="2"/>
                <c:pt idx="0">
                  <c:v>Bulkcarrier</c:v>
                </c:pt>
                <c:pt idx="1">
                  <c:v>container</c:v>
                </c:pt>
              </c:strCache>
            </c:strRef>
          </c:cat>
          <c:val>
            <c:numRef>
              <c:f>statistiek!$Z$5:$Z$6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statistiek!$O$26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statistiek!$P$26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statistiek!$T$26</c:f>
              <c:strCache>
                <c:ptCount val="1"/>
                <c:pt idx="0">
                  <c:v>Zandvliet</c:v>
                </c:pt>
              </c:strCache>
            </c:strRef>
          </c:cat>
          <c:val>
            <c:numRef>
              <c:f>statistiek!$U$26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statistiek!$Y$26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statistiek!$Z$26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695120"/>
        <c:axId val="521571912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695120"/>
        <c:axId val="521571912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2696"/>
        <c:axId val="521572304"/>
      </c:scatterChart>
      <c:valAx>
        <c:axId val="52369512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1571912"/>
        <c:crosses val="autoZero"/>
        <c:crossBetween val="midCat"/>
      </c:valAx>
      <c:valAx>
        <c:axId val="521571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3695120"/>
        <c:crosses val="autoZero"/>
        <c:crossBetween val="midCat"/>
      </c:valAx>
      <c:valAx>
        <c:axId val="521572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1572696"/>
        <c:crosses val="max"/>
        <c:crossBetween val="midCat"/>
      </c:valAx>
      <c:valAx>
        <c:axId val="521572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1572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692768"/>
        <c:axId val="521573480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692768"/>
        <c:axId val="52157348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4264"/>
        <c:axId val="521573872"/>
      </c:scatterChart>
      <c:valAx>
        <c:axId val="523692768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1573480"/>
        <c:crosses val="autoZero"/>
        <c:crossBetween val="midCat"/>
      </c:valAx>
      <c:valAx>
        <c:axId val="521573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3692768"/>
        <c:crosses val="autoZero"/>
        <c:crossBetween val="midCat"/>
      </c:valAx>
      <c:valAx>
        <c:axId val="521573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1574264"/>
        <c:crosses val="max"/>
        <c:crossBetween val="midCat"/>
      </c:valAx>
      <c:valAx>
        <c:axId val="521574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1573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5048"/>
        <c:axId val="521575440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5048"/>
        <c:axId val="52157544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358032"/>
        <c:axId val="524357640"/>
      </c:scatterChart>
      <c:valAx>
        <c:axId val="521575048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1575440"/>
        <c:crosses val="autoZero"/>
        <c:crossBetween val="midCat"/>
      </c:valAx>
      <c:valAx>
        <c:axId val="521575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1575048"/>
        <c:crosses val="autoZero"/>
        <c:crossBetween val="midCat"/>
      </c:valAx>
      <c:valAx>
        <c:axId val="524357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4358032"/>
        <c:crosses val="max"/>
        <c:crossBetween val="midCat"/>
      </c:valAx>
      <c:valAx>
        <c:axId val="524358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357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358816"/>
        <c:axId val="524359208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358816"/>
        <c:axId val="524359208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359992"/>
        <c:axId val="524359600"/>
      </c:scatterChart>
      <c:valAx>
        <c:axId val="52435881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4359208"/>
        <c:crosses val="autoZero"/>
        <c:crossBetween val="midCat"/>
      </c:valAx>
      <c:valAx>
        <c:axId val="524359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4358816"/>
        <c:crosses val="autoZero"/>
        <c:crossBetween val="midCat"/>
      </c:valAx>
      <c:valAx>
        <c:axId val="52435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4359992"/>
        <c:crosses val="max"/>
        <c:crossBetween val="midCat"/>
      </c:valAx>
      <c:valAx>
        <c:axId val="524359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359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993775</xdr:colOff>
      <xdr:row>33</xdr:row>
      <xdr:rowOff>39875</xdr:rowOff>
    </xdr:from>
    <xdr:to>
      <xdr:col>6</xdr:col>
      <xdr:colOff>1031875</xdr:colOff>
      <xdr:row>33</xdr:row>
      <xdr:rowOff>44447</xdr:rowOff>
    </xdr:to>
    <xdr:sp macro="" textlink="">
      <xdr:nvSpPr>
        <xdr:cNvPr id="13136" name="Rechthoek 13135"/>
        <xdr:cNvSpPr/>
      </xdr:nvSpPr>
      <xdr:spPr>
        <a:xfrm>
          <a:off x="5080000" y="6345425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993775</xdr:colOff>
      <xdr:row>9</xdr:row>
      <xdr:rowOff>130993</xdr:rowOff>
    </xdr:from>
    <xdr:to>
      <xdr:col>6</xdr:col>
      <xdr:colOff>1031875</xdr:colOff>
      <xdr:row>33</xdr:row>
      <xdr:rowOff>39934</xdr:rowOff>
    </xdr:to>
    <xdr:sp macro="" textlink="">
      <xdr:nvSpPr>
        <xdr:cNvPr id="13137" name="Rechthoek 13136"/>
        <xdr:cNvSpPr/>
      </xdr:nvSpPr>
      <xdr:spPr>
        <a:xfrm>
          <a:off x="5080000" y="1864543"/>
          <a:ext cx="38100" cy="4480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993775</xdr:colOff>
      <xdr:row>9</xdr:row>
      <xdr:rowOff>124149</xdr:rowOff>
    </xdr:from>
    <xdr:to>
      <xdr:col>6</xdr:col>
      <xdr:colOff>1031875</xdr:colOff>
      <xdr:row>9</xdr:row>
      <xdr:rowOff>131007</xdr:rowOff>
    </xdr:to>
    <xdr:sp macro="" textlink="">
      <xdr:nvSpPr>
        <xdr:cNvPr id="13138" name="Rechthoek 13137"/>
        <xdr:cNvSpPr/>
      </xdr:nvSpPr>
      <xdr:spPr>
        <a:xfrm>
          <a:off x="5080000" y="1857699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946122</xdr:colOff>
      <xdr:row>7</xdr:row>
      <xdr:rowOff>140782</xdr:rowOff>
    </xdr:from>
    <xdr:to>
      <xdr:col>7</xdr:col>
      <xdr:colOff>87357</xdr:colOff>
      <xdr:row>9</xdr:row>
      <xdr:rowOff>101927</xdr:rowOff>
    </xdr:to>
    <xdr:sp macro="" textlink="">
      <xdr:nvSpPr>
        <xdr:cNvPr id="13139" name="Tekstvak 13138"/>
        <xdr:cNvSpPr txBox="1"/>
      </xdr:nvSpPr>
      <xdr:spPr>
        <a:xfrm rot="-3000000">
          <a:off x="4970054" y="1555625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7</xdr:col>
      <xdr:colOff>578283</xdr:colOff>
      <xdr:row>9</xdr:row>
      <xdr:rowOff>76504</xdr:rowOff>
    </xdr:from>
    <xdr:to>
      <xdr:col>7</xdr:col>
      <xdr:colOff>616383</xdr:colOff>
      <xdr:row>32</xdr:row>
      <xdr:rowOff>187248</xdr:rowOff>
    </xdr:to>
    <xdr:sp macro="" textlink="">
      <xdr:nvSpPr>
        <xdr:cNvPr id="13140" name="Rechthoek 13139"/>
        <xdr:cNvSpPr/>
      </xdr:nvSpPr>
      <xdr:spPr>
        <a:xfrm>
          <a:off x="5740833" y="1810054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537310</xdr:colOff>
      <xdr:row>7</xdr:row>
      <xdr:rowOff>78812</xdr:rowOff>
    </xdr:from>
    <xdr:to>
      <xdr:col>7</xdr:col>
      <xdr:colOff>754870</xdr:colOff>
      <xdr:row>9</xdr:row>
      <xdr:rowOff>57398</xdr:rowOff>
    </xdr:to>
    <xdr:sp macro="" textlink="">
      <xdr:nvSpPr>
        <xdr:cNvPr id="13141" name="Tekstvak 13140"/>
        <xdr:cNvSpPr txBox="1"/>
      </xdr:nvSpPr>
      <xdr:spPr>
        <a:xfrm rot="-3000000">
          <a:off x="5628847" y="1502375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196571</xdr:colOff>
      <xdr:row>28</xdr:row>
      <xdr:rowOff>154960</xdr:rowOff>
    </xdr:from>
    <xdr:to>
      <xdr:col>8</xdr:col>
      <xdr:colOff>234671</xdr:colOff>
      <xdr:row>32</xdr:row>
      <xdr:rowOff>155595</xdr:rowOff>
    </xdr:to>
    <xdr:sp macro="" textlink="">
      <xdr:nvSpPr>
        <xdr:cNvPr id="13142" name="Rechthoek 13141"/>
        <xdr:cNvSpPr/>
      </xdr:nvSpPr>
      <xdr:spPr>
        <a:xfrm>
          <a:off x="6187796" y="5508010"/>
          <a:ext cx="38100" cy="7626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25</xdr:row>
      <xdr:rowOff>22527</xdr:rowOff>
    </xdr:from>
    <xdr:to>
      <xdr:col>8</xdr:col>
      <xdr:colOff>234671</xdr:colOff>
      <xdr:row>28</xdr:row>
      <xdr:rowOff>154988</xdr:rowOff>
    </xdr:to>
    <xdr:sp macro="" textlink="">
      <xdr:nvSpPr>
        <xdr:cNvPr id="13143" name="Rechthoek 13142"/>
        <xdr:cNvSpPr/>
      </xdr:nvSpPr>
      <xdr:spPr>
        <a:xfrm>
          <a:off x="6187796" y="4804077"/>
          <a:ext cx="38100" cy="7039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19</xdr:row>
      <xdr:rowOff>176103</xdr:rowOff>
    </xdr:from>
    <xdr:to>
      <xdr:col>8</xdr:col>
      <xdr:colOff>234671</xdr:colOff>
      <xdr:row>25</xdr:row>
      <xdr:rowOff>22560</xdr:rowOff>
    </xdr:to>
    <xdr:sp macro="" textlink="">
      <xdr:nvSpPr>
        <xdr:cNvPr id="13144" name="Rechthoek 13143"/>
        <xdr:cNvSpPr/>
      </xdr:nvSpPr>
      <xdr:spPr>
        <a:xfrm>
          <a:off x="6187796" y="3814653"/>
          <a:ext cx="38100" cy="9894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16</xdr:row>
      <xdr:rowOff>55051</xdr:rowOff>
    </xdr:from>
    <xdr:to>
      <xdr:col>8</xdr:col>
      <xdr:colOff>234671</xdr:colOff>
      <xdr:row>19</xdr:row>
      <xdr:rowOff>176082</xdr:rowOff>
    </xdr:to>
    <xdr:sp macro="" textlink="">
      <xdr:nvSpPr>
        <xdr:cNvPr id="13145" name="Rechthoek 13144"/>
        <xdr:cNvSpPr/>
      </xdr:nvSpPr>
      <xdr:spPr>
        <a:xfrm>
          <a:off x="6187796" y="3122101"/>
          <a:ext cx="38100" cy="692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11</xdr:row>
      <xdr:rowOff>10035</xdr:rowOff>
    </xdr:from>
    <xdr:to>
      <xdr:col>8</xdr:col>
      <xdr:colOff>234671</xdr:colOff>
      <xdr:row>16</xdr:row>
      <xdr:rowOff>54993</xdr:rowOff>
    </xdr:to>
    <xdr:sp macro="" textlink="">
      <xdr:nvSpPr>
        <xdr:cNvPr id="13146" name="Rechthoek 13145"/>
        <xdr:cNvSpPr/>
      </xdr:nvSpPr>
      <xdr:spPr>
        <a:xfrm>
          <a:off x="6187796" y="2124585"/>
          <a:ext cx="38100" cy="9974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9</xdr:row>
      <xdr:rowOff>51585</xdr:rowOff>
    </xdr:from>
    <xdr:to>
      <xdr:col>8</xdr:col>
      <xdr:colOff>234671</xdr:colOff>
      <xdr:row>11</xdr:row>
      <xdr:rowOff>10056</xdr:rowOff>
    </xdr:to>
    <xdr:sp macro="" textlink="">
      <xdr:nvSpPr>
        <xdr:cNvPr id="13147" name="Rechthoek 13146"/>
        <xdr:cNvSpPr/>
      </xdr:nvSpPr>
      <xdr:spPr>
        <a:xfrm>
          <a:off x="6187796" y="1785135"/>
          <a:ext cx="38100" cy="3394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196571</xdr:colOff>
      <xdr:row>9</xdr:row>
      <xdr:rowOff>44741</xdr:rowOff>
    </xdr:from>
    <xdr:to>
      <xdr:col>8</xdr:col>
      <xdr:colOff>234671</xdr:colOff>
      <xdr:row>9</xdr:row>
      <xdr:rowOff>51599</xdr:rowOff>
    </xdr:to>
    <xdr:sp macro="" textlink="">
      <xdr:nvSpPr>
        <xdr:cNvPr id="13148" name="Rechthoek 13147"/>
        <xdr:cNvSpPr/>
      </xdr:nvSpPr>
      <xdr:spPr>
        <a:xfrm>
          <a:off x="6187796" y="1778291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155598</xdr:colOff>
      <xdr:row>7</xdr:row>
      <xdr:rowOff>47049</xdr:rowOff>
    </xdr:from>
    <xdr:to>
      <xdr:col>8</xdr:col>
      <xdr:colOff>373158</xdr:colOff>
      <xdr:row>9</xdr:row>
      <xdr:rowOff>25635</xdr:rowOff>
    </xdr:to>
    <xdr:sp macro="" textlink="">
      <xdr:nvSpPr>
        <xdr:cNvPr id="13149" name="Tekstvak 13148"/>
        <xdr:cNvSpPr txBox="1"/>
      </xdr:nvSpPr>
      <xdr:spPr>
        <a:xfrm rot="-3000000">
          <a:off x="6075810" y="147061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8</xdr:col>
      <xdr:colOff>582257</xdr:colOff>
      <xdr:row>28</xdr:row>
      <xdr:rowOff>158666</xdr:rowOff>
    </xdr:from>
    <xdr:to>
      <xdr:col>8</xdr:col>
      <xdr:colOff>620357</xdr:colOff>
      <xdr:row>32</xdr:row>
      <xdr:rowOff>128313</xdr:rowOff>
    </xdr:to>
    <xdr:sp macro="" textlink="">
      <xdr:nvSpPr>
        <xdr:cNvPr id="13150" name="Rechthoek 13149"/>
        <xdr:cNvSpPr/>
      </xdr:nvSpPr>
      <xdr:spPr>
        <a:xfrm>
          <a:off x="6573482" y="5511716"/>
          <a:ext cx="38100" cy="7316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24</xdr:row>
      <xdr:rowOff>180470</xdr:rowOff>
    </xdr:from>
    <xdr:to>
      <xdr:col>8</xdr:col>
      <xdr:colOff>620357</xdr:colOff>
      <xdr:row>28</xdr:row>
      <xdr:rowOff>158626</xdr:rowOff>
    </xdr:to>
    <xdr:sp macro="" textlink="">
      <xdr:nvSpPr>
        <xdr:cNvPr id="13151" name="Rechthoek 13150"/>
        <xdr:cNvSpPr/>
      </xdr:nvSpPr>
      <xdr:spPr>
        <a:xfrm>
          <a:off x="6573482" y="4771520"/>
          <a:ext cx="38100" cy="7401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19</xdr:row>
      <xdr:rowOff>176935</xdr:rowOff>
    </xdr:from>
    <xdr:to>
      <xdr:col>8</xdr:col>
      <xdr:colOff>620357</xdr:colOff>
      <xdr:row>24</xdr:row>
      <xdr:rowOff>180491</xdr:rowOff>
    </xdr:to>
    <xdr:sp macro="" textlink="">
      <xdr:nvSpPr>
        <xdr:cNvPr id="13152" name="Rechthoek 13151"/>
        <xdr:cNvSpPr/>
      </xdr:nvSpPr>
      <xdr:spPr>
        <a:xfrm>
          <a:off x="6573482" y="3815485"/>
          <a:ext cx="38100" cy="9560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16</xdr:row>
      <xdr:rowOff>24801</xdr:rowOff>
    </xdr:from>
    <xdr:to>
      <xdr:col>8</xdr:col>
      <xdr:colOff>620357</xdr:colOff>
      <xdr:row>19</xdr:row>
      <xdr:rowOff>176947</xdr:rowOff>
    </xdr:to>
    <xdr:sp macro="" textlink="">
      <xdr:nvSpPr>
        <xdr:cNvPr id="13153" name="Rechthoek 13152"/>
        <xdr:cNvSpPr/>
      </xdr:nvSpPr>
      <xdr:spPr>
        <a:xfrm>
          <a:off x="6573482" y="3091851"/>
          <a:ext cx="38100" cy="7236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11</xdr:row>
      <xdr:rowOff>10602</xdr:rowOff>
    </xdr:from>
    <xdr:to>
      <xdr:col>8</xdr:col>
      <xdr:colOff>620357</xdr:colOff>
      <xdr:row>16</xdr:row>
      <xdr:rowOff>24826</xdr:rowOff>
    </xdr:to>
    <xdr:sp macro="" textlink="">
      <xdr:nvSpPr>
        <xdr:cNvPr id="13154" name="Rechthoek 13153"/>
        <xdr:cNvSpPr/>
      </xdr:nvSpPr>
      <xdr:spPr>
        <a:xfrm>
          <a:off x="6573482" y="2125152"/>
          <a:ext cx="38100" cy="9667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9</xdr:row>
      <xdr:rowOff>26628</xdr:rowOff>
    </xdr:from>
    <xdr:to>
      <xdr:col>8</xdr:col>
      <xdr:colOff>620357</xdr:colOff>
      <xdr:row>11</xdr:row>
      <xdr:rowOff>10626</xdr:rowOff>
    </xdr:to>
    <xdr:sp macro="" textlink="">
      <xdr:nvSpPr>
        <xdr:cNvPr id="13155" name="Rechthoek 13154"/>
        <xdr:cNvSpPr/>
      </xdr:nvSpPr>
      <xdr:spPr>
        <a:xfrm>
          <a:off x="6573482" y="1760178"/>
          <a:ext cx="38100" cy="36499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582257</xdr:colOff>
      <xdr:row>9</xdr:row>
      <xdr:rowOff>17515</xdr:rowOff>
    </xdr:from>
    <xdr:to>
      <xdr:col>8</xdr:col>
      <xdr:colOff>620357</xdr:colOff>
      <xdr:row>9</xdr:row>
      <xdr:rowOff>26659</xdr:rowOff>
    </xdr:to>
    <xdr:sp macro="" textlink="">
      <xdr:nvSpPr>
        <xdr:cNvPr id="13156" name="Rechthoek 13155"/>
        <xdr:cNvSpPr/>
      </xdr:nvSpPr>
      <xdr:spPr>
        <a:xfrm>
          <a:off x="6573482" y="1751065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541284</xdr:colOff>
      <xdr:row>7</xdr:row>
      <xdr:rowOff>19823</xdr:rowOff>
    </xdr:from>
    <xdr:to>
      <xdr:col>8</xdr:col>
      <xdr:colOff>758844</xdr:colOff>
      <xdr:row>8</xdr:row>
      <xdr:rowOff>188909</xdr:rowOff>
    </xdr:to>
    <xdr:sp macro="" textlink="">
      <xdr:nvSpPr>
        <xdr:cNvPr id="13157" name="Tekstvak 13156"/>
        <xdr:cNvSpPr txBox="1"/>
      </xdr:nvSpPr>
      <xdr:spPr>
        <a:xfrm rot="-3000000">
          <a:off x="6461496" y="1443386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8</xdr:col>
      <xdr:colOff>756476</xdr:colOff>
      <xdr:row>28</xdr:row>
      <xdr:rowOff>113290</xdr:rowOff>
    </xdr:from>
    <xdr:to>
      <xdr:col>8</xdr:col>
      <xdr:colOff>794576</xdr:colOff>
      <xdr:row>32</xdr:row>
      <xdr:rowOff>116973</xdr:rowOff>
    </xdr:to>
    <xdr:sp macro="" textlink="">
      <xdr:nvSpPr>
        <xdr:cNvPr id="13158" name="Rechthoek 13157"/>
        <xdr:cNvSpPr/>
      </xdr:nvSpPr>
      <xdr:spPr>
        <a:xfrm>
          <a:off x="6747701" y="5466340"/>
          <a:ext cx="38100" cy="7656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25</xdr:row>
      <xdr:rowOff>15985</xdr:rowOff>
    </xdr:from>
    <xdr:to>
      <xdr:col>8</xdr:col>
      <xdr:colOff>794576</xdr:colOff>
      <xdr:row>28</xdr:row>
      <xdr:rowOff>113267</xdr:rowOff>
    </xdr:to>
    <xdr:sp macro="" textlink="">
      <xdr:nvSpPr>
        <xdr:cNvPr id="13159" name="Rechthoek 13158"/>
        <xdr:cNvSpPr/>
      </xdr:nvSpPr>
      <xdr:spPr>
        <a:xfrm>
          <a:off x="6747701" y="4797535"/>
          <a:ext cx="38100" cy="6687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19</xdr:row>
      <xdr:rowOff>138025</xdr:rowOff>
    </xdr:from>
    <xdr:to>
      <xdr:col>8</xdr:col>
      <xdr:colOff>794576</xdr:colOff>
      <xdr:row>25</xdr:row>
      <xdr:rowOff>15978</xdr:rowOff>
    </xdr:to>
    <xdr:sp macro="" textlink="">
      <xdr:nvSpPr>
        <xdr:cNvPr id="13160" name="Rechthoek 13159"/>
        <xdr:cNvSpPr/>
      </xdr:nvSpPr>
      <xdr:spPr>
        <a:xfrm>
          <a:off x="6747701" y="3776575"/>
          <a:ext cx="38100" cy="10209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16</xdr:row>
      <xdr:rowOff>48056</xdr:rowOff>
    </xdr:from>
    <xdr:to>
      <xdr:col>8</xdr:col>
      <xdr:colOff>794576</xdr:colOff>
      <xdr:row>19</xdr:row>
      <xdr:rowOff>137972</xdr:rowOff>
    </xdr:to>
    <xdr:sp macro="" textlink="">
      <xdr:nvSpPr>
        <xdr:cNvPr id="13161" name="Rechthoek 13160"/>
        <xdr:cNvSpPr/>
      </xdr:nvSpPr>
      <xdr:spPr>
        <a:xfrm>
          <a:off x="6747701" y="3115106"/>
          <a:ext cx="38100" cy="6614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10</xdr:row>
      <xdr:rowOff>164045</xdr:rowOff>
    </xdr:from>
    <xdr:to>
      <xdr:col>8</xdr:col>
      <xdr:colOff>794576</xdr:colOff>
      <xdr:row>16</xdr:row>
      <xdr:rowOff>48094</xdr:rowOff>
    </xdr:to>
    <xdr:sp macro="" textlink="">
      <xdr:nvSpPr>
        <xdr:cNvPr id="13162" name="Rechthoek 13161"/>
        <xdr:cNvSpPr/>
      </xdr:nvSpPr>
      <xdr:spPr>
        <a:xfrm>
          <a:off x="6747701" y="2088095"/>
          <a:ext cx="38100" cy="10270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9</xdr:row>
      <xdr:rowOff>15284</xdr:rowOff>
    </xdr:from>
    <xdr:to>
      <xdr:col>8</xdr:col>
      <xdr:colOff>794576</xdr:colOff>
      <xdr:row>10</xdr:row>
      <xdr:rowOff>164001</xdr:rowOff>
    </xdr:to>
    <xdr:sp macro="" textlink="">
      <xdr:nvSpPr>
        <xdr:cNvPr id="13163" name="Rechthoek 13162"/>
        <xdr:cNvSpPr/>
      </xdr:nvSpPr>
      <xdr:spPr>
        <a:xfrm>
          <a:off x="6747701" y="1748834"/>
          <a:ext cx="38100" cy="3392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756476</xdr:colOff>
      <xdr:row>9</xdr:row>
      <xdr:rowOff>6171</xdr:rowOff>
    </xdr:from>
    <xdr:to>
      <xdr:col>8</xdr:col>
      <xdr:colOff>794576</xdr:colOff>
      <xdr:row>9</xdr:row>
      <xdr:rowOff>15315</xdr:rowOff>
    </xdr:to>
    <xdr:sp macro="" textlink="">
      <xdr:nvSpPr>
        <xdr:cNvPr id="13164" name="Rechthoek 13163"/>
        <xdr:cNvSpPr/>
      </xdr:nvSpPr>
      <xdr:spPr>
        <a:xfrm>
          <a:off x="6747701" y="1739721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686474</xdr:colOff>
      <xdr:row>7</xdr:row>
      <xdr:rowOff>70732</xdr:rowOff>
    </xdr:from>
    <xdr:to>
      <xdr:col>8</xdr:col>
      <xdr:colOff>904034</xdr:colOff>
      <xdr:row>8</xdr:row>
      <xdr:rowOff>164028</xdr:rowOff>
    </xdr:to>
    <xdr:sp macro="" textlink="">
      <xdr:nvSpPr>
        <xdr:cNvPr id="13165" name="Tekstvak 13164"/>
        <xdr:cNvSpPr txBox="1"/>
      </xdr:nvSpPr>
      <xdr:spPr>
        <a:xfrm rot="-3000000">
          <a:off x="6644581" y="145640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151998</xdr:colOff>
      <xdr:row>28</xdr:row>
      <xdr:rowOff>25298</xdr:rowOff>
    </xdr:from>
    <xdr:to>
      <xdr:col>9</xdr:col>
      <xdr:colOff>190098</xdr:colOff>
      <xdr:row>32</xdr:row>
      <xdr:rowOff>85242</xdr:rowOff>
    </xdr:to>
    <xdr:sp macro="" textlink="">
      <xdr:nvSpPr>
        <xdr:cNvPr id="13166" name="Rechthoek 13165"/>
        <xdr:cNvSpPr/>
      </xdr:nvSpPr>
      <xdr:spPr>
        <a:xfrm>
          <a:off x="7181448" y="5378348"/>
          <a:ext cx="38100" cy="8219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25</xdr:row>
      <xdr:rowOff>104468</xdr:rowOff>
    </xdr:from>
    <xdr:to>
      <xdr:col>9</xdr:col>
      <xdr:colOff>190098</xdr:colOff>
      <xdr:row>28</xdr:row>
      <xdr:rowOff>25347</xdr:rowOff>
    </xdr:to>
    <xdr:sp macro="" textlink="">
      <xdr:nvSpPr>
        <xdr:cNvPr id="13167" name="Rechthoek 13166"/>
        <xdr:cNvSpPr/>
      </xdr:nvSpPr>
      <xdr:spPr>
        <a:xfrm>
          <a:off x="7181448" y="4886018"/>
          <a:ext cx="38100" cy="4923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19</xdr:row>
      <xdr:rowOff>62663</xdr:rowOff>
    </xdr:from>
    <xdr:to>
      <xdr:col>9</xdr:col>
      <xdr:colOff>190098</xdr:colOff>
      <xdr:row>25</xdr:row>
      <xdr:rowOff>104446</xdr:rowOff>
    </xdr:to>
    <xdr:sp macro="" textlink="">
      <xdr:nvSpPr>
        <xdr:cNvPr id="13168" name="Rechthoek 13167"/>
        <xdr:cNvSpPr/>
      </xdr:nvSpPr>
      <xdr:spPr>
        <a:xfrm>
          <a:off x="7181448" y="3701213"/>
          <a:ext cx="38100" cy="11847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16</xdr:row>
      <xdr:rowOff>127275</xdr:rowOff>
    </xdr:from>
    <xdr:to>
      <xdr:col>9</xdr:col>
      <xdr:colOff>190098</xdr:colOff>
      <xdr:row>19</xdr:row>
      <xdr:rowOff>62632</xdr:rowOff>
    </xdr:to>
    <xdr:sp macro="" textlink="">
      <xdr:nvSpPr>
        <xdr:cNvPr id="13169" name="Rechthoek 13168"/>
        <xdr:cNvSpPr/>
      </xdr:nvSpPr>
      <xdr:spPr>
        <a:xfrm>
          <a:off x="7181448" y="3194325"/>
          <a:ext cx="38100" cy="506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10</xdr:row>
      <xdr:rowOff>94885</xdr:rowOff>
    </xdr:from>
    <xdr:to>
      <xdr:col>9</xdr:col>
      <xdr:colOff>190098</xdr:colOff>
      <xdr:row>16</xdr:row>
      <xdr:rowOff>127270</xdr:rowOff>
    </xdr:to>
    <xdr:sp macro="" textlink="">
      <xdr:nvSpPr>
        <xdr:cNvPr id="13170" name="Rechthoek 13169"/>
        <xdr:cNvSpPr/>
      </xdr:nvSpPr>
      <xdr:spPr>
        <a:xfrm>
          <a:off x="7181448" y="2018935"/>
          <a:ext cx="38100" cy="1175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8</xdr:row>
      <xdr:rowOff>174021</xdr:rowOff>
    </xdr:from>
    <xdr:to>
      <xdr:col>9</xdr:col>
      <xdr:colOff>190098</xdr:colOff>
      <xdr:row>10</xdr:row>
      <xdr:rowOff>94900</xdr:rowOff>
    </xdr:to>
    <xdr:sp macro="" textlink="">
      <xdr:nvSpPr>
        <xdr:cNvPr id="13171" name="Rechthoek 13170"/>
        <xdr:cNvSpPr/>
      </xdr:nvSpPr>
      <xdr:spPr>
        <a:xfrm>
          <a:off x="7181448" y="1717071"/>
          <a:ext cx="38100" cy="3018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151998</xdr:colOff>
      <xdr:row>8</xdr:row>
      <xdr:rowOff>164908</xdr:rowOff>
    </xdr:from>
    <xdr:to>
      <xdr:col>9</xdr:col>
      <xdr:colOff>190098</xdr:colOff>
      <xdr:row>8</xdr:row>
      <xdr:rowOff>174052</xdr:rowOff>
    </xdr:to>
    <xdr:sp macro="" textlink="">
      <xdr:nvSpPr>
        <xdr:cNvPr id="13172" name="Rechthoek 13171"/>
        <xdr:cNvSpPr/>
      </xdr:nvSpPr>
      <xdr:spPr>
        <a:xfrm>
          <a:off x="7181448" y="1707958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80473</xdr:colOff>
      <xdr:row>7</xdr:row>
      <xdr:rowOff>42235</xdr:rowOff>
    </xdr:from>
    <xdr:to>
      <xdr:col>9</xdr:col>
      <xdr:colOff>298033</xdr:colOff>
      <xdr:row>8</xdr:row>
      <xdr:rowOff>131555</xdr:rowOff>
    </xdr:to>
    <xdr:sp macro="" textlink="">
      <xdr:nvSpPr>
        <xdr:cNvPr id="13173" name="Tekstvak 13172"/>
        <xdr:cNvSpPr txBox="1"/>
      </xdr:nvSpPr>
      <xdr:spPr>
        <a:xfrm rot="-3000000">
          <a:off x="7078793" y="1425915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9</xdr:col>
      <xdr:colOff>245716</xdr:colOff>
      <xdr:row>28</xdr:row>
      <xdr:rowOff>984</xdr:rowOff>
    </xdr:from>
    <xdr:to>
      <xdr:col>9</xdr:col>
      <xdr:colOff>283816</xdr:colOff>
      <xdr:row>32</xdr:row>
      <xdr:rowOff>78454</xdr:rowOff>
    </xdr:to>
    <xdr:sp macro="" textlink="">
      <xdr:nvSpPr>
        <xdr:cNvPr id="13174" name="Rechthoek 13173"/>
        <xdr:cNvSpPr/>
      </xdr:nvSpPr>
      <xdr:spPr>
        <a:xfrm>
          <a:off x="7275166" y="5354034"/>
          <a:ext cx="38100" cy="8394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25</xdr:row>
      <xdr:rowOff>122619</xdr:rowOff>
    </xdr:from>
    <xdr:to>
      <xdr:col>9</xdr:col>
      <xdr:colOff>283816</xdr:colOff>
      <xdr:row>28</xdr:row>
      <xdr:rowOff>953</xdr:rowOff>
    </xdr:to>
    <xdr:sp macro="" textlink="">
      <xdr:nvSpPr>
        <xdr:cNvPr id="13175" name="Rechthoek 13174"/>
        <xdr:cNvSpPr/>
      </xdr:nvSpPr>
      <xdr:spPr>
        <a:xfrm>
          <a:off x="7275166" y="4904169"/>
          <a:ext cx="38100" cy="449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19</xdr:row>
      <xdr:rowOff>41109</xdr:rowOff>
    </xdr:from>
    <xdr:to>
      <xdr:col>9</xdr:col>
      <xdr:colOff>283816</xdr:colOff>
      <xdr:row>25</xdr:row>
      <xdr:rowOff>122643</xdr:rowOff>
    </xdr:to>
    <xdr:sp macro="" textlink="">
      <xdr:nvSpPr>
        <xdr:cNvPr id="13176" name="Rechthoek 13175"/>
        <xdr:cNvSpPr/>
      </xdr:nvSpPr>
      <xdr:spPr>
        <a:xfrm>
          <a:off x="7275166" y="3679659"/>
          <a:ext cx="38100" cy="12245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16</xdr:row>
      <xdr:rowOff>140547</xdr:rowOff>
    </xdr:from>
    <xdr:to>
      <xdr:col>9</xdr:col>
      <xdr:colOff>283816</xdr:colOff>
      <xdr:row>19</xdr:row>
      <xdr:rowOff>41106</xdr:rowOff>
    </xdr:to>
    <xdr:sp macro="" textlink="">
      <xdr:nvSpPr>
        <xdr:cNvPr id="13177" name="Rechthoek 13176"/>
        <xdr:cNvSpPr/>
      </xdr:nvSpPr>
      <xdr:spPr>
        <a:xfrm>
          <a:off x="7275166" y="3207597"/>
          <a:ext cx="38100" cy="4720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10</xdr:row>
      <xdr:rowOff>75298</xdr:rowOff>
    </xdr:from>
    <xdr:to>
      <xdr:col>9</xdr:col>
      <xdr:colOff>283816</xdr:colOff>
      <xdr:row>16</xdr:row>
      <xdr:rowOff>140576</xdr:rowOff>
    </xdr:to>
    <xdr:sp macro="" textlink="">
      <xdr:nvSpPr>
        <xdr:cNvPr id="13178" name="Rechthoek 13177"/>
        <xdr:cNvSpPr/>
      </xdr:nvSpPr>
      <xdr:spPr>
        <a:xfrm>
          <a:off x="7275166" y="1999348"/>
          <a:ext cx="38100" cy="12082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8</xdr:row>
      <xdr:rowOff>167214</xdr:rowOff>
    </xdr:from>
    <xdr:to>
      <xdr:col>9</xdr:col>
      <xdr:colOff>283816</xdr:colOff>
      <xdr:row>10</xdr:row>
      <xdr:rowOff>75266</xdr:rowOff>
    </xdr:to>
    <xdr:sp macro="" textlink="">
      <xdr:nvSpPr>
        <xdr:cNvPr id="13179" name="Rechthoek 13178"/>
        <xdr:cNvSpPr/>
      </xdr:nvSpPr>
      <xdr:spPr>
        <a:xfrm>
          <a:off x="7275166" y="1710264"/>
          <a:ext cx="38100" cy="28905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8</xdr:row>
      <xdr:rowOff>158101</xdr:rowOff>
    </xdr:from>
    <xdr:to>
      <xdr:col>9</xdr:col>
      <xdr:colOff>283816</xdr:colOff>
      <xdr:row>8</xdr:row>
      <xdr:rowOff>167245</xdr:rowOff>
    </xdr:to>
    <xdr:sp macro="" textlink="">
      <xdr:nvSpPr>
        <xdr:cNvPr id="13180" name="Rechthoek 13179"/>
        <xdr:cNvSpPr/>
      </xdr:nvSpPr>
      <xdr:spPr>
        <a:xfrm>
          <a:off x="7275166" y="1701151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175714</xdr:colOff>
      <xdr:row>7</xdr:row>
      <xdr:rowOff>32162</xdr:rowOff>
    </xdr:from>
    <xdr:to>
      <xdr:col>9</xdr:col>
      <xdr:colOff>393274</xdr:colOff>
      <xdr:row>8</xdr:row>
      <xdr:rowOff>125458</xdr:rowOff>
    </xdr:to>
    <xdr:sp macro="" textlink="">
      <xdr:nvSpPr>
        <xdr:cNvPr id="13181" name="Tekstvak 13180"/>
        <xdr:cNvSpPr txBox="1"/>
      </xdr:nvSpPr>
      <xdr:spPr>
        <a:xfrm rot="-3000000">
          <a:off x="7172046" y="141783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148813</xdr:colOff>
      <xdr:row>28</xdr:row>
      <xdr:rowOff>32748</xdr:rowOff>
    </xdr:from>
    <xdr:to>
      <xdr:col>10</xdr:col>
      <xdr:colOff>186913</xdr:colOff>
      <xdr:row>32</xdr:row>
      <xdr:rowOff>44431</xdr:rowOff>
    </xdr:to>
    <xdr:sp macro="" textlink="">
      <xdr:nvSpPr>
        <xdr:cNvPr id="13182" name="Rechthoek 13181"/>
        <xdr:cNvSpPr/>
      </xdr:nvSpPr>
      <xdr:spPr>
        <a:xfrm>
          <a:off x="7749763" y="5385798"/>
          <a:ext cx="38100" cy="7736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25</xdr:row>
      <xdr:rowOff>22792</xdr:rowOff>
    </xdr:from>
    <xdr:to>
      <xdr:col>10</xdr:col>
      <xdr:colOff>186913</xdr:colOff>
      <xdr:row>28</xdr:row>
      <xdr:rowOff>32698</xdr:rowOff>
    </xdr:to>
    <xdr:sp macro="" textlink="">
      <xdr:nvSpPr>
        <xdr:cNvPr id="13183" name="Rechthoek 13182"/>
        <xdr:cNvSpPr/>
      </xdr:nvSpPr>
      <xdr:spPr>
        <a:xfrm>
          <a:off x="7749763" y="4804342"/>
          <a:ext cx="38100" cy="58140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19</xdr:row>
      <xdr:rowOff>63495</xdr:rowOff>
    </xdr:from>
    <xdr:to>
      <xdr:col>10</xdr:col>
      <xdr:colOff>186913</xdr:colOff>
      <xdr:row>25</xdr:row>
      <xdr:rowOff>22854</xdr:rowOff>
    </xdr:to>
    <xdr:sp macro="" textlink="">
      <xdr:nvSpPr>
        <xdr:cNvPr id="13184" name="Rechthoek 13183"/>
        <xdr:cNvSpPr/>
      </xdr:nvSpPr>
      <xdr:spPr>
        <a:xfrm>
          <a:off x="7749763" y="3702045"/>
          <a:ext cx="38100" cy="11023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16</xdr:row>
      <xdr:rowOff>49606</xdr:rowOff>
    </xdr:from>
    <xdr:to>
      <xdr:col>10</xdr:col>
      <xdr:colOff>186913</xdr:colOff>
      <xdr:row>19</xdr:row>
      <xdr:rowOff>63449</xdr:rowOff>
    </xdr:to>
    <xdr:sp macro="" textlink="">
      <xdr:nvSpPr>
        <xdr:cNvPr id="13185" name="Rechthoek 13184"/>
        <xdr:cNvSpPr/>
      </xdr:nvSpPr>
      <xdr:spPr>
        <a:xfrm>
          <a:off x="7749763" y="3116656"/>
          <a:ext cx="38100" cy="5853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10</xdr:row>
      <xdr:rowOff>93902</xdr:rowOff>
    </xdr:from>
    <xdr:to>
      <xdr:col>10</xdr:col>
      <xdr:colOff>186913</xdr:colOff>
      <xdr:row>16</xdr:row>
      <xdr:rowOff>49579</xdr:rowOff>
    </xdr:to>
    <xdr:sp macro="" textlink="">
      <xdr:nvSpPr>
        <xdr:cNvPr id="13186" name="Rechthoek 13185"/>
        <xdr:cNvSpPr/>
      </xdr:nvSpPr>
      <xdr:spPr>
        <a:xfrm>
          <a:off x="7749763" y="2017952"/>
          <a:ext cx="38100" cy="10986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8</xdr:row>
      <xdr:rowOff>130914</xdr:rowOff>
    </xdr:from>
    <xdr:to>
      <xdr:col>10</xdr:col>
      <xdr:colOff>186913</xdr:colOff>
      <xdr:row>10</xdr:row>
      <xdr:rowOff>93957</xdr:rowOff>
    </xdr:to>
    <xdr:sp macro="" textlink="">
      <xdr:nvSpPr>
        <xdr:cNvPr id="13187" name="Rechthoek 13186"/>
        <xdr:cNvSpPr/>
      </xdr:nvSpPr>
      <xdr:spPr>
        <a:xfrm>
          <a:off x="7749763" y="1673964"/>
          <a:ext cx="38100" cy="3440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8</xdr:row>
      <xdr:rowOff>124069</xdr:rowOff>
    </xdr:from>
    <xdr:to>
      <xdr:col>10</xdr:col>
      <xdr:colOff>186913</xdr:colOff>
      <xdr:row>8</xdr:row>
      <xdr:rowOff>130927</xdr:rowOff>
    </xdr:to>
    <xdr:sp macro="" textlink="">
      <xdr:nvSpPr>
        <xdr:cNvPr id="13188" name="Rechthoek 13187"/>
        <xdr:cNvSpPr/>
      </xdr:nvSpPr>
      <xdr:spPr>
        <a:xfrm>
          <a:off x="7749763" y="1667119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78812</xdr:colOff>
      <xdr:row>6</xdr:row>
      <xdr:rowOff>198155</xdr:rowOff>
    </xdr:from>
    <xdr:to>
      <xdr:col>10</xdr:col>
      <xdr:colOff>296372</xdr:colOff>
      <xdr:row>8</xdr:row>
      <xdr:rowOff>91426</xdr:rowOff>
    </xdr:to>
    <xdr:sp macro="" textlink="">
      <xdr:nvSpPr>
        <xdr:cNvPr id="13189" name="Tekstvak 13188"/>
        <xdr:cNvSpPr txBox="1"/>
      </xdr:nvSpPr>
      <xdr:spPr>
        <a:xfrm rot="-3000000">
          <a:off x="7646644" y="138379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291794</xdr:colOff>
      <xdr:row>27</xdr:row>
      <xdr:rowOff>89880</xdr:rowOff>
    </xdr:from>
    <xdr:to>
      <xdr:col>10</xdr:col>
      <xdr:colOff>329894</xdr:colOff>
      <xdr:row>32</xdr:row>
      <xdr:rowOff>35270</xdr:rowOff>
    </xdr:to>
    <xdr:sp macro="" textlink="">
      <xdr:nvSpPr>
        <xdr:cNvPr id="13190" name="Rechthoek 13189"/>
        <xdr:cNvSpPr/>
      </xdr:nvSpPr>
      <xdr:spPr>
        <a:xfrm>
          <a:off x="7892744" y="5252430"/>
          <a:ext cx="38100" cy="897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26</xdr:row>
      <xdr:rowOff>17199</xdr:rowOff>
    </xdr:from>
    <xdr:to>
      <xdr:col>10</xdr:col>
      <xdr:colOff>329894</xdr:colOff>
      <xdr:row>27</xdr:row>
      <xdr:rowOff>89843</xdr:rowOff>
    </xdr:to>
    <xdr:sp macro="" textlink="">
      <xdr:nvSpPr>
        <xdr:cNvPr id="13191" name="Rechthoek 13190"/>
        <xdr:cNvSpPr/>
      </xdr:nvSpPr>
      <xdr:spPr>
        <a:xfrm>
          <a:off x="7892744" y="4989249"/>
          <a:ext cx="38100" cy="2631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18</xdr:row>
      <xdr:rowOff>145395</xdr:rowOff>
    </xdr:from>
    <xdr:to>
      <xdr:col>10</xdr:col>
      <xdr:colOff>329894</xdr:colOff>
      <xdr:row>26</xdr:row>
      <xdr:rowOff>17252</xdr:rowOff>
    </xdr:to>
    <xdr:sp macro="" textlink="">
      <xdr:nvSpPr>
        <xdr:cNvPr id="13192" name="Rechthoek 13191"/>
        <xdr:cNvSpPr/>
      </xdr:nvSpPr>
      <xdr:spPr>
        <a:xfrm>
          <a:off x="7892744" y="3593445"/>
          <a:ext cx="38100" cy="13958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17</xdr:row>
      <xdr:rowOff>21893</xdr:rowOff>
    </xdr:from>
    <xdr:to>
      <xdr:col>10</xdr:col>
      <xdr:colOff>329894</xdr:colOff>
      <xdr:row>18</xdr:row>
      <xdr:rowOff>145337</xdr:rowOff>
    </xdr:to>
    <xdr:sp macro="" textlink="">
      <xdr:nvSpPr>
        <xdr:cNvPr id="13193" name="Rechthoek 13192"/>
        <xdr:cNvSpPr/>
      </xdr:nvSpPr>
      <xdr:spPr>
        <a:xfrm>
          <a:off x="7892744" y="3279443"/>
          <a:ext cx="38100" cy="3139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9</xdr:row>
      <xdr:rowOff>190209</xdr:rowOff>
    </xdr:from>
    <xdr:to>
      <xdr:col>10</xdr:col>
      <xdr:colOff>329894</xdr:colOff>
      <xdr:row>17</xdr:row>
      <xdr:rowOff>21934</xdr:rowOff>
    </xdr:to>
    <xdr:sp macro="" textlink="">
      <xdr:nvSpPr>
        <xdr:cNvPr id="13194" name="Rechthoek 13193"/>
        <xdr:cNvSpPr/>
      </xdr:nvSpPr>
      <xdr:spPr>
        <a:xfrm>
          <a:off x="7892744" y="1923759"/>
          <a:ext cx="38100" cy="13557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8</xdr:row>
      <xdr:rowOff>119570</xdr:rowOff>
    </xdr:from>
    <xdr:to>
      <xdr:col>10</xdr:col>
      <xdr:colOff>329894</xdr:colOff>
      <xdr:row>9</xdr:row>
      <xdr:rowOff>190182</xdr:rowOff>
    </xdr:to>
    <xdr:sp macro="" textlink="">
      <xdr:nvSpPr>
        <xdr:cNvPr id="13195" name="Rechthoek 13194"/>
        <xdr:cNvSpPr/>
      </xdr:nvSpPr>
      <xdr:spPr>
        <a:xfrm>
          <a:off x="7892744" y="1662620"/>
          <a:ext cx="38100" cy="2611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8</xdr:row>
      <xdr:rowOff>114994</xdr:rowOff>
    </xdr:from>
    <xdr:to>
      <xdr:col>10</xdr:col>
      <xdr:colOff>329894</xdr:colOff>
      <xdr:row>8</xdr:row>
      <xdr:rowOff>119566</xdr:rowOff>
    </xdr:to>
    <xdr:sp macro="" textlink="">
      <xdr:nvSpPr>
        <xdr:cNvPr id="13196" name="Rechthoek 13195"/>
        <xdr:cNvSpPr/>
      </xdr:nvSpPr>
      <xdr:spPr>
        <a:xfrm>
          <a:off x="7892744" y="1658044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236822</xdr:colOff>
      <xdr:row>6</xdr:row>
      <xdr:rowOff>156848</xdr:rowOff>
    </xdr:from>
    <xdr:to>
      <xdr:col>10</xdr:col>
      <xdr:colOff>454382</xdr:colOff>
      <xdr:row>8</xdr:row>
      <xdr:rowOff>89360</xdr:rowOff>
    </xdr:to>
    <xdr:sp macro="" textlink="">
      <xdr:nvSpPr>
        <xdr:cNvPr id="13197" name="Tekstvak 13196"/>
        <xdr:cNvSpPr txBox="1"/>
      </xdr:nvSpPr>
      <xdr:spPr>
        <a:xfrm rot="-3000000">
          <a:off x="7785033" y="1362112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10</xdr:col>
      <xdr:colOff>621009</xdr:colOff>
      <xdr:row>28</xdr:row>
      <xdr:rowOff>97824</xdr:rowOff>
    </xdr:from>
    <xdr:to>
      <xdr:col>10</xdr:col>
      <xdr:colOff>659109</xdr:colOff>
      <xdr:row>32</xdr:row>
      <xdr:rowOff>12607</xdr:rowOff>
    </xdr:to>
    <xdr:sp macro="" textlink="">
      <xdr:nvSpPr>
        <xdr:cNvPr id="13198" name="Rechthoek 13197"/>
        <xdr:cNvSpPr/>
      </xdr:nvSpPr>
      <xdr:spPr>
        <a:xfrm>
          <a:off x="8221959" y="5450874"/>
          <a:ext cx="38100" cy="6767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24</xdr:row>
      <xdr:rowOff>123372</xdr:rowOff>
    </xdr:from>
    <xdr:to>
      <xdr:col>10</xdr:col>
      <xdr:colOff>659109</xdr:colOff>
      <xdr:row>28</xdr:row>
      <xdr:rowOff>97844</xdr:rowOff>
    </xdr:to>
    <xdr:sp macro="" textlink="">
      <xdr:nvSpPr>
        <xdr:cNvPr id="13199" name="Rechthoek 13198"/>
        <xdr:cNvSpPr/>
      </xdr:nvSpPr>
      <xdr:spPr>
        <a:xfrm>
          <a:off x="8221959" y="4714422"/>
          <a:ext cx="38100" cy="7364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19</xdr:row>
      <xdr:rowOff>116320</xdr:rowOff>
    </xdr:from>
    <xdr:to>
      <xdr:col>10</xdr:col>
      <xdr:colOff>659109</xdr:colOff>
      <xdr:row>24</xdr:row>
      <xdr:rowOff>123432</xdr:rowOff>
    </xdr:to>
    <xdr:sp macro="" textlink="">
      <xdr:nvSpPr>
        <xdr:cNvPr id="13200" name="Rechthoek 13199"/>
        <xdr:cNvSpPr/>
      </xdr:nvSpPr>
      <xdr:spPr>
        <a:xfrm>
          <a:off x="8221959" y="3754870"/>
          <a:ext cx="38100" cy="9596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15</xdr:row>
      <xdr:rowOff>165538</xdr:rowOff>
    </xdr:from>
    <xdr:to>
      <xdr:col>10</xdr:col>
      <xdr:colOff>659109</xdr:colOff>
      <xdr:row>19</xdr:row>
      <xdr:rowOff>116262</xdr:rowOff>
    </xdr:to>
    <xdr:sp macro="" textlink="">
      <xdr:nvSpPr>
        <xdr:cNvPr id="13201" name="Rechthoek 13200"/>
        <xdr:cNvSpPr/>
      </xdr:nvSpPr>
      <xdr:spPr>
        <a:xfrm>
          <a:off x="8221959" y="3042088"/>
          <a:ext cx="38100" cy="7127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10</xdr:row>
      <xdr:rowOff>118178</xdr:rowOff>
    </xdr:from>
    <xdr:to>
      <xdr:col>10</xdr:col>
      <xdr:colOff>659109</xdr:colOff>
      <xdr:row>15</xdr:row>
      <xdr:rowOff>165549</xdr:rowOff>
    </xdr:to>
    <xdr:sp macro="" textlink="">
      <xdr:nvSpPr>
        <xdr:cNvPr id="13202" name="Rechthoek 13201"/>
        <xdr:cNvSpPr/>
      </xdr:nvSpPr>
      <xdr:spPr>
        <a:xfrm>
          <a:off x="8221959" y="2042228"/>
          <a:ext cx="38100" cy="9998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8</xdr:row>
      <xdr:rowOff>101419</xdr:rowOff>
    </xdr:from>
    <xdr:to>
      <xdr:col>10</xdr:col>
      <xdr:colOff>659109</xdr:colOff>
      <xdr:row>10</xdr:row>
      <xdr:rowOff>118183</xdr:rowOff>
    </xdr:to>
    <xdr:sp macro="" textlink="">
      <xdr:nvSpPr>
        <xdr:cNvPr id="13203" name="Rechthoek 13202"/>
        <xdr:cNvSpPr/>
      </xdr:nvSpPr>
      <xdr:spPr>
        <a:xfrm>
          <a:off x="8221959" y="1644469"/>
          <a:ext cx="38100" cy="3977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621009</xdr:colOff>
      <xdr:row>8</xdr:row>
      <xdr:rowOff>92306</xdr:rowOff>
    </xdr:from>
    <xdr:to>
      <xdr:col>10</xdr:col>
      <xdr:colOff>659109</xdr:colOff>
      <xdr:row>8</xdr:row>
      <xdr:rowOff>101450</xdr:rowOff>
    </xdr:to>
    <xdr:sp macro="" textlink="">
      <xdr:nvSpPr>
        <xdr:cNvPr id="13204" name="Rechthoek 13203"/>
        <xdr:cNvSpPr/>
      </xdr:nvSpPr>
      <xdr:spPr>
        <a:xfrm>
          <a:off x="8221959" y="1635356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634803</xdr:colOff>
      <xdr:row>5</xdr:row>
      <xdr:rowOff>186715</xdr:rowOff>
    </xdr:from>
    <xdr:to>
      <xdr:col>10</xdr:col>
      <xdr:colOff>852363</xdr:colOff>
      <xdr:row>8</xdr:row>
      <xdr:rowOff>98738</xdr:rowOff>
    </xdr:to>
    <xdr:sp macro="" textlink="">
      <xdr:nvSpPr>
        <xdr:cNvPr id="13205" name="Tekstvak 13204"/>
        <xdr:cNvSpPr txBox="1"/>
      </xdr:nvSpPr>
      <xdr:spPr>
        <a:xfrm rot="-3000000">
          <a:off x="8093246" y="128172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10</xdr:col>
      <xdr:colOff>812049</xdr:colOff>
      <xdr:row>28</xdr:row>
      <xdr:rowOff>29722</xdr:rowOff>
    </xdr:from>
    <xdr:to>
      <xdr:col>10</xdr:col>
      <xdr:colOff>850149</xdr:colOff>
      <xdr:row>31</xdr:row>
      <xdr:rowOff>189488</xdr:rowOff>
    </xdr:to>
    <xdr:sp macro="" textlink="">
      <xdr:nvSpPr>
        <xdr:cNvPr id="13206" name="Rechthoek 13205"/>
        <xdr:cNvSpPr/>
      </xdr:nvSpPr>
      <xdr:spPr>
        <a:xfrm>
          <a:off x="8412999" y="5382772"/>
          <a:ext cx="38100" cy="7312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25</xdr:row>
      <xdr:rowOff>11448</xdr:rowOff>
    </xdr:from>
    <xdr:to>
      <xdr:col>10</xdr:col>
      <xdr:colOff>850149</xdr:colOff>
      <xdr:row>28</xdr:row>
      <xdr:rowOff>29736</xdr:rowOff>
    </xdr:to>
    <xdr:sp macro="" textlink="">
      <xdr:nvSpPr>
        <xdr:cNvPr id="13207" name="Rechthoek 13206"/>
        <xdr:cNvSpPr/>
      </xdr:nvSpPr>
      <xdr:spPr>
        <a:xfrm>
          <a:off x="8412999" y="4792998"/>
          <a:ext cx="38100" cy="5897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19</xdr:row>
      <xdr:rowOff>59524</xdr:rowOff>
    </xdr:from>
    <xdr:to>
      <xdr:col>10</xdr:col>
      <xdr:colOff>850149</xdr:colOff>
      <xdr:row>25</xdr:row>
      <xdr:rowOff>11391</xdr:rowOff>
    </xdr:to>
    <xdr:sp macro="" textlink="">
      <xdr:nvSpPr>
        <xdr:cNvPr id="13208" name="Rechthoek 13207"/>
        <xdr:cNvSpPr/>
      </xdr:nvSpPr>
      <xdr:spPr>
        <a:xfrm>
          <a:off x="8412999" y="3698074"/>
          <a:ext cx="38100" cy="10948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16</xdr:row>
      <xdr:rowOff>45976</xdr:rowOff>
    </xdr:from>
    <xdr:to>
      <xdr:col>10</xdr:col>
      <xdr:colOff>850149</xdr:colOff>
      <xdr:row>19</xdr:row>
      <xdr:rowOff>59565</xdr:rowOff>
    </xdr:to>
    <xdr:sp macro="" textlink="">
      <xdr:nvSpPr>
        <xdr:cNvPr id="13209" name="Rechthoek 13208"/>
        <xdr:cNvSpPr/>
      </xdr:nvSpPr>
      <xdr:spPr>
        <a:xfrm>
          <a:off x="8412999" y="3113026"/>
          <a:ext cx="38100" cy="5850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10</xdr:row>
      <xdr:rowOff>64710</xdr:rowOff>
    </xdr:from>
    <xdr:to>
      <xdr:col>10</xdr:col>
      <xdr:colOff>850149</xdr:colOff>
      <xdr:row>16</xdr:row>
      <xdr:rowOff>45914</xdr:rowOff>
    </xdr:to>
    <xdr:sp macro="" textlink="">
      <xdr:nvSpPr>
        <xdr:cNvPr id="13210" name="Rechthoek 13209"/>
        <xdr:cNvSpPr/>
      </xdr:nvSpPr>
      <xdr:spPr>
        <a:xfrm>
          <a:off x="8412999" y="1988760"/>
          <a:ext cx="38100" cy="11242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8</xdr:row>
      <xdr:rowOff>78731</xdr:rowOff>
    </xdr:from>
    <xdr:to>
      <xdr:col>10</xdr:col>
      <xdr:colOff>850149</xdr:colOff>
      <xdr:row>10</xdr:row>
      <xdr:rowOff>64761</xdr:rowOff>
    </xdr:to>
    <xdr:sp macro="" textlink="">
      <xdr:nvSpPr>
        <xdr:cNvPr id="13211" name="Rechthoek 13210"/>
        <xdr:cNvSpPr/>
      </xdr:nvSpPr>
      <xdr:spPr>
        <a:xfrm>
          <a:off x="8412999" y="1621781"/>
          <a:ext cx="38100" cy="3670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825844</xdr:colOff>
      <xdr:row>5</xdr:row>
      <xdr:rowOff>173102</xdr:rowOff>
    </xdr:from>
    <xdr:to>
      <xdr:col>11</xdr:col>
      <xdr:colOff>33754</xdr:colOff>
      <xdr:row>8</xdr:row>
      <xdr:rowOff>85125</xdr:rowOff>
    </xdr:to>
    <xdr:sp macro="" textlink="">
      <xdr:nvSpPr>
        <xdr:cNvPr id="13212" name="Tekstvak 13211"/>
        <xdr:cNvSpPr txBox="1"/>
      </xdr:nvSpPr>
      <xdr:spPr>
        <a:xfrm rot="-3000000">
          <a:off x="8284287" y="126810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11</xdr:col>
      <xdr:colOff>31888</xdr:colOff>
      <xdr:row>18</xdr:row>
      <xdr:rowOff>47194</xdr:rowOff>
    </xdr:from>
    <xdr:to>
      <xdr:col>11</xdr:col>
      <xdr:colOff>69988</xdr:colOff>
      <xdr:row>31</xdr:row>
      <xdr:rowOff>173558</xdr:rowOff>
    </xdr:to>
    <xdr:sp macro="" textlink="">
      <xdr:nvSpPr>
        <xdr:cNvPr id="13213" name="Rechthoek 13212"/>
        <xdr:cNvSpPr/>
      </xdr:nvSpPr>
      <xdr:spPr>
        <a:xfrm>
          <a:off x="8642488" y="3495244"/>
          <a:ext cx="38100" cy="26028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17</xdr:row>
      <xdr:rowOff>98767</xdr:rowOff>
    </xdr:from>
    <xdr:to>
      <xdr:col>11</xdr:col>
      <xdr:colOff>69988</xdr:colOff>
      <xdr:row>18</xdr:row>
      <xdr:rowOff>47205</xdr:rowOff>
    </xdr:to>
    <xdr:sp macro="" textlink="">
      <xdr:nvSpPr>
        <xdr:cNvPr id="13214" name="Rechthoek 13213"/>
        <xdr:cNvSpPr/>
      </xdr:nvSpPr>
      <xdr:spPr>
        <a:xfrm>
          <a:off x="8642488" y="3356317"/>
          <a:ext cx="38100" cy="13893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9</xdr:row>
      <xdr:rowOff>60055</xdr:rowOff>
    </xdr:from>
    <xdr:to>
      <xdr:col>11</xdr:col>
      <xdr:colOff>69988</xdr:colOff>
      <xdr:row>17</xdr:row>
      <xdr:rowOff>98790</xdr:rowOff>
    </xdr:to>
    <xdr:sp macro="" textlink="">
      <xdr:nvSpPr>
        <xdr:cNvPr id="13215" name="Rechthoek 13214"/>
        <xdr:cNvSpPr/>
      </xdr:nvSpPr>
      <xdr:spPr>
        <a:xfrm>
          <a:off x="8642488" y="1793605"/>
          <a:ext cx="38100" cy="15627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8</xdr:row>
      <xdr:rowOff>138552</xdr:rowOff>
    </xdr:from>
    <xdr:to>
      <xdr:col>11</xdr:col>
      <xdr:colOff>69988</xdr:colOff>
      <xdr:row>9</xdr:row>
      <xdr:rowOff>60066</xdr:rowOff>
    </xdr:to>
    <xdr:sp macro="" textlink="">
      <xdr:nvSpPr>
        <xdr:cNvPr id="13216" name="Rechthoek 13215"/>
        <xdr:cNvSpPr/>
      </xdr:nvSpPr>
      <xdr:spPr>
        <a:xfrm>
          <a:off x="8642488" y="1681602"/>
          <a:ext cx="38100" cy="1120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8</xdr:row>
      <xdr:rowOff>62812</xdr:rowOff>
    </xdr:from>
    <xdr:to>
      <xdr:col>11</xdr:col>
      <xdr:colOff>69988</xdr:colOff>
      <xdr:row>8</xdr:row>
      <xdr:rowOff>138504</xdr:rowOff>
    </xdr:to>
    <xdr:sp macro="" textlink="">
      <xdr:nvSpPr>
        <xdr:cNvPr id="13217" name="Rechthoek 13216"/>
        <xdr:cNvSpPr/>
      </xdr:nvSpPr>
      <xdr:spPr>
        <a:xfrm>
          <a:off x="8642488" y="1605862"/>
          <a:ext cx="38100" cy="756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45683</xdr:colOff>
      <xdr:row>5</xdr:row>
      <xdr:rowOff>157221</xdr:rowOff>
    </xdr:from>
    <xdr:to>
      <xdr:col>11</xdr:col>
      <xdr:colOff>263243</xdr:colOff>
      <xdr:row>8</xdr:row>
      <xdr:rowOff>69244</xdr:rowOff>
    </xdr:to>
    <xdr:sp macro="" textlink="">
      <xdr:nvSpPr>
        <xdr:cNvPr id="13218" name="Tekstvak 13217"/>
        <xdr:cNvSpPr txBox="1"/>
      </xdr:nvSpPr>
      <xdr:spPr>
        <a:xfrm rot="-3000000">
          <a:off x="8513776" y="1252228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11</xdr:col>
      <xdr:colOff>626638</xdr:colOff>
      <xdr:row>27</xdr:row>
      <xdr:rowOff>166263</xdr:rowOff>
    </xdr:from>
    <xdr:to>
      <xdr:col>11</xdr:col>
      <xdr:colOff>664738</xdr:colOff>
      <xdr:row>31</xdr:row>
      <xdr:rowOff>130449</xdr:rowOff>
    </xdr:to>
    <xdr:sp macro="" textlink="">
      <xdr:nvSpPr>
        <xdr:cNvPr id="13219" name="Rechthoek 13218"/>
        <xdr:cNvSpPr/>
      </xdr:nvSpPr>
      <xdr:spPr>
        <a:xfrm>
          <a:off x="9237238" y="5328813"/>
          <a:ext cx="38100" cy="7261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25</xdr:row>
      <xdr:rowOff>9368</xdr:rowOff>
    </xdr:from>
    <xdr:to>
      <xdr:col>11</xdr:col>
      <xdr:colOff>664738</xdr:colOff>
      <xdr:row>27</xdr:row>
      <xdr:rowOff>166213</xdr:rowOff>
    </xdr:to>
    <xdr:sp macro="" textlink="">
      <xdr:nvSpPr>
        <xdr:cNvPr id="13220" name="Rechthoek 13219"/>
        <xdr:cNvSpPr/>
      </xdr:nvSpPr>
      <xdr:spPr>
        <a:xfrm>
          <a:off x="9237238" y="4790918"/>
          <a:ext cx="38100" cy="5378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18</xdr:row>
      <xdr:rowOff>188767</xdr:rowOff>
    </xdr:from>
    <xdr:to>
      <xdr:col>11</xdr:col>
      <xdr:colOff>664738</xdr:colOff>
      <xdr:row>25</xdr:row>
      <xdr:rowOff>9316</xdr:rowOff>
    </xdr:to>
    <xdr:sp macro="" textlink="">
      <xdr:nvSpPr>
        <xdr:cNvPr id="13221" name="Rechthoek 13220"/>
        <xdr:cNvSpPr/>
      </xdr:nvSpPr>
      <xdr:spPr>
        <a:xfrm>
          <a:off x="9237238" y="3636817"/>
          <a:ext cx="38100" cy="11540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16</xdr:row>
      <xdr:rowOff>27296</xdr:rowOff>
    </xdr:from>
    <xdr:to>
      <xdr:col>11</xdr:col>
      <xdr:colOff>664738</xdr:colOff>
      <xdr:row>18</xdr:row>
      <xdr:rowOff>188713</xdr:rowOff>
    </xdr:to>
    <xdr:sp macro="" textlink="">
      <xdr:nvSpPr>
        <xdr:cNvPr id="13222" name="Rechthoek 13221"/>
        <xdr:cNvSpPr/>
      </xdr:nvSpPr>
      <xdr:spPr>
        <a:xfrm>
          <a:off x="9237238" y="3094346"/>
          <a:ext cx="38100" cy="5424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10</xdr:row>
      <xdr:rowOff>10183</xdr:rowOff>
    </xdr:from>
    <xdr:to>
      <xdr:col>11</xdr:col>
      <xdr:colOff>664738</xdr:colOff>
      <xdr:row>16</xdr:row>
      <xdr:rowOff>27328</xdr:rowOff>
    </xdr:to>
    <xdr:sp macro="" textlink="">
      <xdr:nvSpPr>
        <xdr:cNvPr id="13223" name="Rechthoek 13222"/>
        <xdr:cNvSpPr/>
      </xdr:nvSpPr>
      <xdr:spPr>
        <a:xfrm>
          <a:off x="9237238" y="1934233"/>
          <a:ext cx="38100" cy="11601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8</xdr:row>
      <xdr:rowOff>19742</xdr:rowOff>
    </xdr:from>
    <xdr:to>
      <xdr:col>11</xdr:col>
      <xdr:colOff>664738</xdr:colOff>
      <xdr:row>10</xdr:row>
      <xdr:rowOff>10217</xdr:rowOff>
    </xdr:to>
    <xdr:sp macro="" textlink="">
      <xdr:nvSpPr>
        <xdr:cNvPr id="13224" name="Rechthoek 13223"/>
        <xdr:cNvSpPr/>
      </xdr:nvSpPr>
      <xdr:spPr>
        <a:xfrm>
          <a:off x="9237238" y="1562792"/>
          <a:ext cx="38100" cy="3714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678106</xdr:colOff>
      <xdr:row>5</xdr:row>
      <xdr:rowOff>33321</xdr:rowOff>
    </xdr:from>
    <xdr:to>
      <xdr:col>12</xdr:col>
      <xdr:colOff>143191</xdr:colOff>
      <xdr:row>8</xdr:row>
      <xdr:rowOff>43705</xdr:rowOff>
    </xdr:to>
    <xdr:sp macro="" textlink="">
      <xdr:nvSpPr>
        <xdr:cNvPr id="13225" name="Tekstvak 13224"/>
        <xdr:cNvSpPr txBox="1"/>
      </xdr:nvSpPr>
      <xdr:spPr>
        <a:xfrm rot="-3000000">
          <a:off x="9097019" y="1177508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12</xdr:col>
      <xdr:colOff>625108</xdr:colOff>
      <xdr:row>27</xdr:row>
      <xdr:rowOff>135596</xdr:rowOff>
    </xdr:from>
    <xdr:to>
      <xdr:col>12</xdr:col>
      <xdr:colOff>663208</xdr:colOff>
      <xdr:row>31</xdr:row>
      <xdr:rowOff>64730</xdr:rowOff>
    </xdr:to>
    <xdr:sp macro="" textlink="">
      <xdr:nvSpPr>
        <xdr:cNvPr id="13226" name="Rechthoek 13225"/>
        <xdr:cNvSpPr/>
      </xdr:nvSpPr>
      <xdr:spPr>
        <a:xfrm>
          <a:off x="9988183" y="5298146"/>
          <a:ext cx="38100" cy="6911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24</xdr:row>
      <xdr:rowOff>184213</xdr:rowOff>
    </xdr:from>
    <xdr:to>
      <xdr:col>12</xdr:col>
      <xdr:colOff>663208</xdr:colOff>
      <xdr:row>27</xdr:row>
      <xdr:rowOff>135572</xdr:rowOff>
    </xdr:to>
    <xdr:sp macro="" textlink="">
      <xdr:nvSpPr>
        <xdr:cNvPr id="13227" name="Rechthoek 13226"/>
        <xdr:cNvSpPr/>
      </xdr:nvSpPr>
      <xdr:spPr>
        <a:xfrm>
          <a:off x="9988183" y="4775263"/>
          <a:ext cx="38100" cy="5228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18</xdr:row>
      <xdr:rowOff>161276</xdr:rowOff>
    </xdr:from>
    <xdr:to>
      <xdr:col>12</xdr:col>
      <xdr:colOff>663208</xdr:colOff>
      <xdr:row>24</xdr:row>
      <xdr:rowOff>184263</xdr:rowOff>
    </xdr:to>
    <xdr:sp macro="" textlink="">
      <xdr:nvSpPr>
        <xdr:cNvPr id="13228" name="Rechthoek 13227"/>
        <xdr:cNvSpPr/>
      </xdr:nvSpPr>
      <xdr:spPr>
        <a:xfrm>
          <a:off x="9988183" y="3609326"/>
          <a:ext cx="38100" cy="11659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16</xdr:row>
      <xdr:rowOff>12209</xdr:rowOff>
    </xdr:from>
    <xdr:to>
      <xdr:col>12</xdr:col>
      <xdr:colOff>663208</xdr:colOff>
      <xdr:row>18</xdr:row>
      <xdr:rowOff>161307</xdr:rowOff>
    </xdr:to>
    <xdr:sp macro="" textlink="">
      <xdr:nvSpPr>
        <xdr:cNvPr id="13229" name="Rechthoek 13228"/>
        <xdr:cNvSpPr/>
      </xdr:nvSpPr>
      <xdr:spPr>
        <a:xfrm>
          <a:off x="9988183" y="3079259"/>
          <a:ext cx="38100" cy="53009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9</xdr:row>
      <xdr:rowOff>173609</xdr:rowOff>
    </xdr:from>
    <xdr:to>
      <xdr:col>12</xdr:col>
      <xdr:colOff>663208</xdr:colOff>
      <xdr:row>16</xdr:row>
      <xdr:rowOff>12192</xdr:rowOff>
    </xdr:to>
    <xdr:sp macro="" textlink="">
      <xdr:nvSpPr>
        <xdr:cNvPr id="13230" name="Rechthoek 13229"/>
        <xdr:cNvSpPr/>
      </xdr:nvSpPr>
      <xdr:spPr>
        <a:xfrm>
          <a:off x="9988183" y="1907159"/>
          <a:ext cx="38100" cy="11720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7</xdr:row>
      <xdr:rowOff>164866</xdr:rowOff>
    </xdr:from>
    <xdr:to>
      <xdr:col>12</xdr:col>
      <xdr:colOff>663208</xdr:colOff>
      <xdr:row>9</xdr:row>
      <xdr:rowOff>173629</xdr:rowOff>
    </xdr:to>
    <xdr:sp macro="" textlink="">
      <xdr:nvSpPr>
        <xdr:cNvPr id="13231" name="Rechthoek 13230"/>
        <xdr:cNvSpPr/>
      </xdr:nvSpPr>
      <xdr:spPr>
        <a:xfrm>
          <a:off x="9988183" y="1517416"/>
          <a:ext cx="38100" cy="3897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7</xdr:row>
      <xdr:rowOff>144409</xdr:rowOff>
    </xdr:from>
    <xdr:to>
      <xdr:col>12</xdr:col>
      <xdr:colOff>663208</xdr:colOff>
      <xdr:row>7</xdr:row>
      <xdr:rowOff>164856</xdr:rowOff>
    </xdr:to>
    <xdr:sp macro="" textlink="">
      <xdr:nvSpPr>
        <xdr:cNvPr id="13232" name="Rechthoek 13231"/>
        <xdr:cNvSpPr/>
      </xdr:nvSpPr>
      <xdr:spPr>
        <a:xfrm>
          <a:off x="9988183" y="1496959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651797</xdr:colOff>
      <xdr:row>5</xdr:row>
      <xdr:rowOff>20666</xdr:rowOff>
    </xdr:from>
    <xdr:to>
      <xdr:col>12</xdr:col>
      <xdr:colOff>869357</xdr:colOff>
      <xdr:row>7</xdr:row>
      <xdr:rowOff>156853</xdr:rowOff>
    </xdr:to>
    <xdr:sp macro="" textlink="">
      <xdr:nvSpPr>
        <xdr:cNvPr id="13233" name="Tekstvak 13232"/>
        <xdr:cNvSpPr txBox="1"/>
      </xdr:nvSpPr>
      <xdr:spPr>
        <a:xfrm rot="-3000000">
          <a:off x="9855533" y="1132505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703207</xdr:colOff>
      <xdr:row>27</xdr:row>
      <xdr:rowOff>132911</xdr:rowOff>
    </xdr:from>
    <xdr:to>
      <xdr:col>12</xdr:col>
      <xdr:colOff>741307</xdr:colOff>
      <xdr:row>31</xdr:row>
      <xdr:rowOff>57854</xdr:rowOff>
    </xdr:to>
    <xdr:sp macro="" textlink="">
      <xdr:nvSpPr>
        <xdr:cNvPr id="13234" name="Rechthoek 13233"/>
        <xdr:cNvSpPr/>
      </xdr:nvSpPr>
      <xdr:spPr>
        <a:xfrm>
          <a:off x="10066282" y="5295461"/>
          <a:ext cx="38100" cy="6869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24</xdr:row>
      <xdr:rowOff>163416</xdr:rowOff>
    </xdr:from>
    <xdr:to>
      <xdr:col>12</xdr:col>
      <xdr:colOff>741307</xdr:colOff>
      <xdr:row>27</xdr:row>
      <xdr:rowOff>132936</xdr:rowOff>
    </xdr:to>
    <xdr:sp macro="" textlink="">
      <xdr:nvSpPr>
        <xdr:cNvPr id="13235" name="Rechthoek 13234"/>
        <xdr:cNvSpPr/>
      </xdr:nvSpPr>
      <xdr:spPr>
        <a:xfrm>
          <a:off x="10066282" y="4754466"/>
          <a:ext cx="38100" cy="5410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18</xdr:row>
      <xdr:rowOff>156512</xdr:rowOff>
    </xdr:from>
    <xdr:to>
      <xdr:col>12</xdr:col>
      <xdr:colOff>741307</xdr:colOff>
      <xdr:row>24</xdr:row>
      <xdr:rowOff>163370</xdr:rowOff>
    </xdr:to>
    <xdr:sp macro="" textlink="">
      <xdr:nvSpPr>
        <xdr:cNvPr id="13236" name="Rechthoek 13235"/>
        <xdr:cNvSpPr/>
      </xdr:nvSpPr>
      <xdr:spPr>
        <a:xfrm>
          <a:off x="10066282" y="3604562"/>
          <a:ext cx="38100" cy="1149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15</xdr:row>
      <xdr:rowOff>182592</xdr:rowOff>
    </xdr:from>
    <xdr:to>
      <xdr:col>12</xdr:col>
      <xdr:colOff>741307</xdr:colOff>
      <xdr:row>18</xdr:row>
      <xdr:rowOff>156557</xdr:rowOff>
    </xdr:to>
    <xdr:sp macro="" textlink="">
      <xdr:nvSpPr>
        <xdr:cNvPr id="13237" name="Rechthoek 13236"/>
        <xdr:cNvSpPr/>
      </xdr:nvSpPr>
      <xdr:spPr>
        <a:xfrm>
          <a:off x="10066282" y="3059142"/>
          <a:ext cx="38100" cy="5454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9</xdr:row>
      <xdr:rowOff>168277</xdr:rowOff>
    </xdr:from>
    <xdr:to>
      <xdr:col>12</xdr:col>
      <xdr:colOff>741307</xdr:colOff>
      <xdr:row>15</xdr:row>
      <xdr:rowOff>182628</xdr:rowOff>
    </xdr:to>
    <xdr:sp macro="" textlink="">
      <xdr:nvSpPr>
        <xdr:cNvPr id="13238" name="Rechthoek 13237"/>
        <xdr:cNvSpPr/>
      </xdr:nvSpPr>
      <xdr:spPr>
        <a:xfrm>
          <a:off x="10066282" y="1901827"/>
          <a:ext cx="38100" cy="11573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7</xdr:row>
      <xdr:rowOff>142178</xdr:rowOff>
    </xdr:from>
    <xdr:to>
      <xdr:col>12</xdr:col>
      <xdr:colOff>741307</xdr:colOff>
      <xdr:row>9</xdr:row>
      <xdr:rowOff>168213</xdr:rowOff>
    </xdr:to>
    <xdr:sp macro="" textlink="">
      <xdr:nvSpPr>
        <xdr:cNvPr id="13239" name="Rechthoek 13238"/>
        <xdr:cNvSpPr/>
      </xdr:nvSpPr>
      <xdr:spPr>
        <a:xfrm>
          <a:off x="10066282" y="1494728"/>
          <a:ext cx="38100" cy="4070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7</xdr:row>
      <xdr:rowOff>137603</xdr:rowOff>
    </xdr:from>
    <xdr:to>
      <xdr:col>12</xdr:col>
      <xdr:colOff>741307</xdr:colOff>
      <xdr:row>7</xdr:row>
      <xdr:rowOff>142175</xdr:rowOff>
    </xdr:to>
    <xdr:sp macro="" textlink="">
      <xdr:nvSpPr>
        <xdr:cNvPr id="13240" name="Rechthoek 13239"/>
        <xdr:cNvSpPr/>
      </xdr:nvSpPr>
      <xdr:spPr>
        <a:xfrm>
          <a:off x="10066282" y="1490153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893731</xdr:colOff>
      <xdr:row>3</xdr:row>
      <xdr:rowOff>43514</xdr:rowOff>
    </xdr:from>
    <xdr:to>
      <xdr:col>13</xdr:col>
      <xdr:colOff>92116</xdr:colOff>
      <xdr:row>8</xdr:row>
      <xdr:rowOff>35946</xdr:rowOff>
    </xdr:to>
    <xdr:sp macro="" textlink="">
      <xdr:nvSpPr>
        <xdr:cNvPr id="13241" name="Tekstvak 13240"/>
        <xdr:cNvSpPr txBox="1"/>
      </xdr:nvSpPr>
      <xdr:spPr>
        <a:xfrm rot="-3000000">
          <a:off x="9883595" y="988225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13</xdr:col>
      <xdr:colOff>389320</xdr:colOff>
      <xdr:row>27</xdr:row>
      <xdr:rowOff>116917</xdr:rowOff>
    </xdr:from>
    <xdr:to>
      <xdr:col>13</xdr:col>
      <xdr:colOff>427420</xdr:colOff>
      <xdr:row>30</xdr:row>
      <xdr:rowOff>187147</xdr:rowOff>
    </xdr:to>
    <xdr:sp macro="" textlink="">
      <xdr:nvSpPr>
        <xdr:cNvPr id="13242" name="Rechthoek 13241"/>
        <xdr:cNvSpPr/>
      </xdr:nvSpPr>
      <xdr:spPr>
        <a:xfrm>
          <a:off x="10771570" y="5279467"/>
          <a:ext cx="38100" cy="6417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24</xdr:row>
      <xdr:rowOff>163416</xdr:rowOff>
    </xdr:from>
    <xdr:to>
      <xdr:col>13</xdr:col>
      <xdr:colOff>427420</xdr:colOff>
      <xdr:row>27</xdr:row>
      <xdr:rowOff>116934</xdr:rowOff>
    </xdr:to>
    <xdr:sp macro="" textlink="">
      <xdr:nvSpPr>
        <xdr:cNvPr id="13243" name="Rechthoek 13242"/>
        <xdr:cNvSpPr/>
      </xdr:nvSpPr>
      <xdr:spPr>
        <a:xfrm>
          <a:off x="10771570" y="4754466"/>
          <a:ext cx="38100" cy="5250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18</xdr:row>
      <xdr:rowOff>139496</xdr:rowOff>
    </xdr:from>
    <xdr:to>
      <xdr:col>13</xdr:col>
      <xdr:colOff>427420</xdr:colOff>
      <xdr:row>24</xdr:row>
      <xdr:rowOff>163372</xdr:rowOff>
    </xdr:to>
    <xdr:sp macro="" textlink="">
      <xdr:nvSpPr>
        <xdr:cNvPr id="13244" name="Rechthoek 13243"/>
        <xdr:cNvSpPr/>
      </xdr:nvSpPr>
      <xdr:spPr>
        <a:xfrm>
          <a:off x="10771570" y="3587546"/>
          <a:ext cx="38100" cy="11668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15</xdr:row>
      <xdr:rowOff>175710</xdr:rowOff>
    </xdr:from>
    <xdr:to>
      <xdr:col>13</xdr:col>
      <xdr:colOff>427420</xdr:colOff>
      <xdr:row>18</xdr:row>
      <xdr:rowOff>139515</xdr:rowOff>
    </xdr:to>
    <xdr:sp macro="" textlink="">
      <xdr:nvSpPr>
        <xdr:cNvPr id="13245" name="Rechthoek 13244"/>
        <xdr:cNvSpPr/>
      </xdr:nvSpPr>
      <xdr:spPr>
        <a:xfrm>
          <a:off x="10771570" y="3052260"/>
          <a:ext cx="38100" cy="53530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9</xdr:row>
      <xdr:rowOff>150731</xdr:rowOff>
    </xdr:from>
    <xdr:to>
      <xdr:col>13</xdr:col>
      <xdr:colOff>427420</xdr:colOff>
      <xdr:row>15</xdr:row>
      <xdr:rowOff>175751</xdr:rowOff>
    </xdr:to>
    <xdr:sp macro="" textlink="">
      <xdr:nvSpPr>
        <xdr:cNvPr id="13246" name="Rechthoek 13245"/>
        <xdr:cNvSpPr/>
      </xdr:nvSpPr>
      <xdr:spPr>
        <a:xfrm>
          <a:off x="10771570" y="1884281"/>
          <a:ext cx="38100" cy="11680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7</xdr:row>
      <xdr:rowOff>96802</xdr:rowOff>
    </xdr:from>
    <xdr:to>
      <xdr:col>13</xdr:col>
      <xdr:colOff>427420</xdr:colOff>
      <xdr:row>9</xdr:row>
      <xdr:rowOff>150777</xdr:rowOff>
    </xdr:to>
    <xdr:sp macro="" textlink="">
      <xdr:nvSpPr>
        <xdr:cNvPr id="13247" name="Rechthoek 13246"/>
        <xdr:cNvSpPr/>
      </xdr:nvSpPr>
      <xdr:spPr>
        <a:xfrm>
          <a:off x="10771570" y="1449352"/>
          <a:ext cx="38100" cy="4349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7</xdr:row>
      <xdr:rowOff>76345</xdr:rowOff>
    </xdr:from>
    <xdr:to>
      <xdr:col>13</xdr:col>
      <xdr:colOff>427420</xdr:colOff>
      <xdr:row>7</xdr:row>
      <xdr:rowOff>96792</xdr:rowOff>
    </xdr:to>
    <xdr:sp macro="" textlink="">
      <xdr:nvSpPr>
        <xdr:cNvPr id="13248" name="Rechthoek 13247"/>
        <xdr:cNvSpPr/>
      </xdr:nvSpPr>
      <xdr:spPr>
        <a:xfrm>
          <a:off x="10771570" y="1428895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458701</xdr:colOff>
      <xdr:row>4</xdr:row>
      <xdr:rowOff>51548</xdr:rowOff>
    </xdr:from>
    <xdr:to>
      <xdr:col>13</xdr:col>
      <xdr:colOff>676261</xdr:colOff>
      <xdr:row>7</xdr:row>
      <xdr:rowOff>108698</xdr:rowOff>
    </xdr:to>
    <xdr:sp macro="" textlink="">
      <xdr:nvSpPr>
        <xdr:cNvPr id="13249" name="Tekstvak 13248"/>
        <xdr:cNvSpPr txBox="1"/>
      </xdr:nvSpPr>
      <xdr:spPr>
        <a:xfrm rot="-3000000">
          <a:off x="10625881" y="102861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72665</xdr:colOff>
      <xdr:row>27</xdr:row>
      <xdr:rowOff>152083</xdr:rowOff>
    </xdr:from>
    <xdr:to>
      <xdr:col>14</xdr:col>
      <xdr:colOff>110765</xdr:colOff>
      <xdr:row>30</xdr:row>
      <xdr:rowOff>141796</xdr:rowOff>
    </xdr:to>
    <xdr:sp macro="" textlink="">
      <xdr:nvSpPr>
        <xdr:cNvPr id="13250" name="Rechthoek 13249"/>
        <xdr:cNvSpPr/>
      </xdr:nvSpPr>
      <xdr:spPr>
        <a:xfrm>
          <a:off x="11302640" y="5314633"/>
          <a:ext cx="38100" cy="5612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24</xdr:row>
      <xdr:rowOff>80189</xdr:rowOff>
    </xdr:from>
    <xdr:to>
      <xdr:col>14</xdr:col>
      <xdr:colOff>110765</xdr:colOff>
      <xdr:row>27</xdr:row>
      <xdr:rowOff>152071</xdr:rowOff>
    </xdr:to>
    <xdr:sp macro="" textlink="">
      <xdr:nvSpPr>
        <xdr:cNvPr id="13251" name="Rechthoek 13250"/>
        <xdr:cNvSpPr/>
      </xdr:nvSpPr>
      <xdr:spPr>
        <a:xfrm>
          <a:off x="11302640" y="4671239"/>
          <a:ext cx="38100" cy="6433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18</xdr:row>
      <xdr:rowOff>169104</xdr:rowOff>
    </xdr:from>
    <xdr:to>
      <xdr:col>14</xdr:col>
      <xdr:colOff>110765</xdr:colOff>
      <xdr:row>24</xdr:row>
      <xdr:rowOff>80204</xdr:rowOff>
    </xdr:to>
    <xdr:sp macro="" textlink="">
      <xdr:nvSpPr>
        <xdr:cNvPr id="13252" name="Rechthoek 13251"/>
        <xdr:cNvSpPr/>
      </xdr:nvSpPr>
      <xdr:spPr>
        <a:xfrm>
          <a:off x="11302640" y="3617154"/>
          <a:ext cx="38100" cy="10541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15</xdr:row>
      <xdr:rowOff>101823</xdr:rowOff>
    </xdr:from>
    <xdr:to>
      <xdr:col>14</xdr:col>
      <xdr:colOff>110765</xdr:colOff>
      <xdr:row>18</xdr:row>
      <xdr:rowOff>169133</xdr:rowOff>
    </xdr:to>
    <xdr:sp macro="" textlink="">
      <xdr:nvSpPr>
        <xdr:cNvPr id="13253" name="Rechthoek 13252"/>
        <xdr:cNvSpPr/>
      </xdr:nvSpPr>
      <xdr:spPr>
        <a:xfrm>
          <a:off x="11302640" y="2978373"/>
          <a:ext cx="38100" cy="638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9</xdr:row>
      <xdr:rowOff>176671</xdr:rowOff>
    </xdr:from>
    <xdr:to>
      <xdr:col>14</xdr:col>
      <xdr:colOff>110765</xdr:colOff>
      <xdr:row>15</xdr:row>
      <xdr:rowOff>101868</xdr:rowOff>
    </xdr:to>
    <xdr:sp macro="" textlink="">
      <xdr:nvSpPr>
        <xdr:cNvPr id="13254" name="Rechthoek 13253"/>
        <xdr:cNvSpPr/>
      </xdr:nvSpPr>
      <xdr:spPr>
        <a:xfrm>
          <a:off x="11302640" y="1910221"/>
          <a:ext cx="38100" cy="10681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7</xdr:row>
      <xdr:rowOff>51426</xdr:rowOff>
    </xdr:from>
    <xdr:to>
      <xdr:col>14</xdr:col>
      <xdr:colOff>110765</xdr:colOff>
      <xdr:row>9</xdr:row>
      <xdr:rowOff>176648</xdr:rowOff>
    </xdr:to>
    <xdr:sp macro="" textlink="">
      <xdr:nvSpPr>
        <xdr:cNvPr id="13255" name="Rechthoek 13254"/>
        <xdr:cNvSpPr/>
      </xdr:nvSpPr>
      <xdr:spPr>
        <a:xfrm>
          <a:off x="11302640" y="1403976"/>
          <a:ext cx="38100" cy="5062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7</xdr:row>
      <xdr:rowOff>30969</xdr:rowOff>
    </xdr:from>
    <xdr:to>
      <xdr:col>14</xdr:col>
      <xdr:colOff>110765</xdr:colOff>
      <xdr:row>7</xdr:row>
      <xdr:rowOff>51416</xdr:rowOff>
    </xdr:to>
    <xdr:sp macro="" textlink="">
      <xdr:nvSpPr>
        <xdr:cNvPr id="13256" name="Rechthoek 13255"/>
        <xdr:cNvSpPr/>
      </xdr:nvSpPr>
      <xdr:spPr>
        <a:xfrm>
          <a:off x="11302640" y="1383519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120966</xdr:colOff>
      <xdr:row>4</xdr:row>
      <xdr:rowOff>51378</xdr:rowOff>
    </xdr:from>
    <xdr:to>
      <xdr:col>14</xdr:col>
      <xdr:colOff>338526</xdr:colOff>
      <xdr:row>7</xdr:row>
      <xdr:rowOff>53491</xdr:rowOff>
    </xdr:to>
    <xdr:sp macro="" textlink="">
      <xdr:nvSpPr>
        <xdr:cNvPr id="13257" name="Tekstvak 13256"/>
        <xdr:cNvSpPr txBox="1"/>
      </xdr:nvSpPr>
      <xdr:spPr>
        <a:xfrm rot="-3000000">
          <a:off x="11163389" y="1000930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422305</xdr:colOff>
      <xdr:row>27</xdr:row>
      <xdr:rowOff>106215</xdr:rowOff>
    </xdr:from>
    <xdr:to>
      <xdr:col>14</xdr:col>
      <xdr:colOff>460405</xdr:colOff>
      <xdr:row>30</xdr:row>
      <xdr:rowOff>112311</xdr:rowOff>
    </xdr:to>
    <xdr:sp macro="" textlink="">
      <xdr:nvSpPr>
        <xdr:cNvPr id="13258" name="Rechthoek 13257"/>
        <xdr:cNvSpPr/>
      </xdr:nvSpPr>
      <xdr:spPr>
        <a:xfrm>
          <a:off x="11652280" y="5268765"/>
          <a:ext cx="38100" cy="5775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24</xdr:row>
      <xdr:rowOff>104503</xdr:rowOff>
    </xdr:from>
    <xdr:to>
      <xdr:col>14</xdr:col>
      <xdr:colOff>460405</xdr:colOff>
      <xdr:row>27</xdr:row>
      <xdr:rowOff>106154</xdr:rowOff>
    </xdr:to>
    <xdr:sp macro="" textlink="">
      <xdr:nvSpPr>
        <xdr:cNvPr id="13259" name="Rechthoek 13258"/>
        <xdr:cNvSpPr/>
      </xdr:nvSpPr>
      <xdr:spPr>
        <a:xfrm>
          <a:off x="11652280" y="4695553"/>
          <a:ext cx="38100" cy="5731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18</xdr:row>
      <xdr:rowOff>125467</xdr:rowOff>
    </xdr:from>
    <xdr:to>
      <xdr:col>14</xdr:col>
      <xdr:colOff>460405</xdr:colOff>
      <xdr:row>24</xdr:row>
      <xdr:rowOff>104512</xdr:rowOff>
    </xdr:to>
    <xdr:sp macro="" textlink="">
      <xdr:nvSpPr>
        <xdr:cNvPr id="13260" name="Rechthoek 13259"/>
        <xdr:cNvSpPr/>
      </xdr:nvSpPr>
      <xdr:spPr>
        <a:xfrm>
          <a:off x="11652280" y="3573517"/>
          <a:ext cx="38100" cy="11220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15</xdr:row>
      <xdr:rowOff>124624</xdr:rowOff>
    </xdr:from>
    <xdr:to>
      <xdr:col>14</xdr:col>
      <xdr:colOff>460405</xdr:colOff>
      <xdr:row>18</xdr:row>
      <xdr:rowOff>125513</xdr:rowOff>
    </xdr:to>
    <xdr:sp macro="" textlink="">
      <xdr:nvSpPr>
        <xdr:cNvPr id="13261" name="Rechthoek 13260"/>
        <xdr:cNvSpPr/>
      </xdr:nvSpPr>
      <xdr:spPr>
        <a:xfrm>
          <a:off x="11652280" y="3001174"/>
          <a:ext cx="38100" cy="5723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9</xdr:row>
      <xdr:rowOff>135266</xdr:rowOff>
    </xdr:from>
    <xdr:to>
      <xdr:col>14</xdr:col>
      <xdr:colOff>460405</xdr:colOff>
      <xdr:row>15</xdr:row>
      <xdr:rowOff>124598</xdr:rowOff>
    </xdr:to>
    <xdr:sp macro="" textlink="">
      <xdr:nvSpPr>
        <xdr:cNvPr id="13262" name="Rechthoek 13261"/>
        <xdr:cNvSpPr/>
      </xdr:nvSpPr>
      <xdr:spPr>
        <a:xfrm>
          <a:off x="11652280" y="1868816"/>
          <a:ext cx="38100" cy="11323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7</xdr:row>
      <xdr:rowOff>6050</xdr:rowOff>
    </xdr:from>
    <xdr:to>
      <xdr:col>14</xdr:col>
      <xdr:colOff>460405</xdr:colOff>
      <xdr:row>9</xdr:row>
      <xdr:rowOff>135209</xdr:rowOff>
    </xdr:to>
    <xdr:sp macro="" textlink="">
      <xdr:nvSpPr>
        <xdr:cNvPr id="13263" name="Rechthoek 13262"/>
        <xdr:cNvSpPr/>
      </xdr:nvSpPr>
      <xdr:spPr>
        <a:xfrm>
          <a:off x="11652280" y="1358600"/>
          <a:ext cx="38100" cy="5101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7</xdr:row>
      <xdr:rowOff>1475</xdr:rowOff>
    </xdr:from>
    <xdr:to>
      <xdr:col>14</xdr:col>
      <xdr:colOff>460405</xdr:colOff>
      <xdr:row>7</xdr:row>
      <xdr:rowOff>6047</xdr:rowOff>
    </xdr:to>
    <xdr:sp macro="" textlink="">
      <xdr:nvSpPr>
        <xdr:cNvPr id="13264" name="Rechthoek 13263"/>
        <xdr:cNvSpPr/>
      </xdr:nvSpPr>
      <xdr:spPr>
        <a:xfrm>
          <a:off x="11652280" y="1354025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433005</xdr:colOff>
      <xdr:row>4</xdr:row>
      <xdr:rowOff>102520</xdr:rowOff>
    </xdr:from>
    <xdr:to>
      <xdr:col>14</xdr:col>
      <xdr:colOff>650565</xdr:colOff>
      <xdr:row>7</xdr:row>
      <xdr:rowOff>6464</xdr:rowOff>
    </xdr:to>
    <xdr:sp macro="" textlink="">
      <xdr:nvSpPr>
        <xdr:cNvPr id="13265" name="Tekstvak 13264"/>
        <xdr:cNvSpPr txBox="1"/>
      </xdr:nvSpPr>
      <xdr:spPr>
        <a:xfrm rot="-3000000">
          <a:off x="11524513" y="1002987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14</xdr:col>
      <xdr:colOff>690243</xdr:colOff>
      <xdr:row>27</xdr:row>
      <xdr:rowOff>83527</xdr:rowOff>
    </xdr:from>
    <xdr:to>
      <xdr:col>14</xdr:col>
      <xdr:colOff>728343</xdr:colOff>
      <xdr:row>30</xdr:row>
      <xdr:rowOff>89623</xdr:rowOff>
    </xdr:to>
    <xdr:sp macro="" textlink="">
      <xdr:nvSpPr>
        <xdr:cNvPr id="13266" name="Rechthoek 13265"/>
        <xdr:cNvSpPr/>
      </xdr:nvSpPr>
      <xdr:spPr>
        <a:xfrm>
          <a:off x="11920218" y="5246077"/>
          <a:ext cx="38100" cy="5775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24</xdr:row>
      <xdr:rowOff>88319</xdr:rowOff>
    </xdr:from>
    <xdr:to>
      <xdr:col>14</xdr:col>
      <xdr:colOff>728343</xdr:colOff>
      <xdr:row>27</xdr:row>
      <xdr:rowOff>83493</xdr:rowOff>
    </xdr:to>
    <xdr:sp macro="" textlink="">
      <xdr:nvSpPr>
        <xdr:cNvPr id="13267" name="Rechthoek 13266"/>
        <xdr:cNvSpPr/>
      </xdr:nvSpPr>
      <xdr:spPr>
        <a:xfrm>
          <a:off x="11920218" y="4679369"/>
          <a:ext cx="38100" cy="5666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18</xdr:row>
      <xdr:rowOff>100926</xdr:rowOff>
    </xdr:from>
    <xdr:to>
      <xdr:col>14</xdr:col>
      <xdr:colOff>728343</xdr:colOff>
      <xdr:row>24</xdr:row>
      <xdr:rowOff>88354</xdr:rowOff>
    </xdr:to>
    <xdr:sp macro="" textlink="">
      <xdr:nvSpPr>
        <xdr:cNvPr id="13268" name="Rechthoek 13267"/>
        <xdr:cNvSpPr/>
      </xdr:nvSpPr>
      <xdr:spPr>
        <a:xfrm>
          <a:off x="11920218" y="3548976"/>
          <a:ext cx="38100" cy="11304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15</xdr:row>
      <xdr:rowOff>106512</xdr:rowOff>
    </xdr:from>
    <xdr:to>
      <xdr:col>14</xdr:col>
      <xdr:colOff>728343</xdr:colOff>
      <xdr:row>18</xdr:row>
      <xdr:rowOff>100924</xdr:rowOff>
    </xdr:to>
    <xdr:sp macro="" textlink="">
      <xdr:nvSpPr>
        <xdr:cNvPr id="13269" name="Rechthoek 13268"/>
        <xdr:cNvSpPr/>
      </xdr:nvSpPr>
      <xdr:spPr>
        <a:xfrm>
          <a:off x="11920218" y="2983062"/>
          <a:ext cx="38100" cy="5659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9</xdr:row>
      <xdr:rowOff>112351</xdr:rowOff>
    </xdr:from>
    <xdr:to>
      <xdr:col>14</xdr:col>
      <xdr:colOff>728343</xdr:colOff>
      <xdr:row>15</xdr:row>
      <xdr:rowOff>106509</xdr:rowOff>
    </xdr:to>
    <xdr:sp macro="" textlink="">
      <xdr:nvSpPr>
        <xdr:cNvPr id="13270" name="Rechthoek 13269"/>
        <xdr:cNvSpPr/>
      </xdr:nvSpPr>
      <xdr:spPr>
        <a:xfrm>
          <a:off x="11920218" y="1845901"/>
          <a:ext cx="38100" cy="11371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6</xdr:row>
      <xdr:rowOff>183387</xdr:rowOff>
    </xdr:from>
    <xdr:to>
      <xdr:col>14</xdr:col>
      <xdr:colOff>728343</xdr:colOff>
      <xdr:row>9</xdr:row>
      <xdr:rowOff>112394</xdr:rowOff>
    </xdr:to>
    <xdr:sp macro="" textlink="">
      <xdr:nvSpPr>
        <xdr:cNvPr id="13271" name="Rechthoek 13270"/>
        <xdr:cNvSpPr/>
      </xdr:nvSpPr>
      <xdr:spPr>
        <a:xfrm>
          <a:off x="11920218" y="1335912"/>
          <a:ext cx="38100" cy="51003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6</xdr:row>
      <xdr:rowOff>178812</xdr:rowOff>
    </xdr:from>
    <xdr:to>
      <xdr:col>14</xdr:col>
      <xdr:colOff>728343</xdr:colOff>
      <xdr:row>6</xdr:row>
      <xdr:rowOff>183384</xdr:rowOff>
    </xdr:to>
    <xdr:sp macro="" textlink="">
      <xdr:nvSpPr>
        <xdr:cNvPr id="13272" name="Rechthoek 13271"/>
        <xdr:cNvSpPr/>
      </xdr:nvSpPr>
      <xdr:spPr>
        <a:xfrm>
          <a:off x="11920218" y="1331337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759624</xdr:colOff>
      <xdr:row>3</xdr:row>
      <xdr:rowOff>144490</xdr:rowOff>
    </xdr:from>
    <xdr:to>
      <xdr:col>14</xdr:col>
      <xdr:colOff>977184</xdr:colOff>
      <xdr:row>7</xdr:row>
      <xdr:rowOff>11140</xdr:rowOff>
    </xdr:to>
    <xdr:sp macro="" textlink="">
      <xdr:nvSpPr>
        <xdr:cNvPr id="13273" name="Tekstvak 13272"/>
        <xdr:cNvSpPr txBox="1"/>
      </xdr:nvSpPr>
      <xdr:spPr>
        <a:xfrm rot="-3000000">
          <a:off x="11774529" y="931060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14</xdr:col>
      <xdr:colOff>877679</xdr:colOff>
      <xdr:row>27</xdr:row>
      <xdr:rowOff>79519</xdr:rowOff>
    </xdr:from>
    <xdr:to>
      <xdr:col>14</xdr:col>
      <xdr:colOff>915779</xdr:colOff>
      <xdr:row>30</xdr:row>
      <xdr:rowOff>73677</xdr:rowOff>
    </xdr:to>
    <xdr:sp macro="" textlink="">
      <xdr:nvSpPr>
        <xdr:cNvPr id="13274" name="Rechthoek 13273"/>
        <xdr:cNvSpPr/>
      </xdr:nvSpPr>
      <xdr:spPr>
        <a:xfrm>
          <a:off x="12107654" y="5242069"/>
          <a:ext cx="38100" cy="5656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24</xdr:row>
      <xdr:rowOff>83214</xdr:rowOff>
    </xdr:from>
    <xdr:to>
      <xdr:col>14</xdr:col>
      <xdr:colOff>915779</xdr:colOff>
      <xdr:row>27</xdr:row>
      <xdr:rowOff>79530</xdr:rowOff>
    </xdr:to>
    <xdr:sp macro="" textlink="">
      <xdr:nvSpPr>
        <xdr:cNvPr id="13275" name="Rechthoek 13274"/>
        <xdr:cNvSpPr/>
      </xdr:nvSpPr>
      <xdr:spPr>
        <a:xfrm>
          <a:off x="12107654" y="4674264"/>
          <a:ext cx="38100" cy="5678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18</xdr:row>
      <xdr:rowOff>98015</xdr:rowOff>
    </xdr:from>
    <xdr:to>
      <xdr:col>14</xdr:col>
      <xdr:colOff>915779</xdr:colOff>
      <xdr:row>24</xdr:row>
      <xdr:rowOff>83155</xdr:rowOff>
    </xdr:to>
    <xdr:sp macro="" textlink="">
      <xdr:nvSpPr>
        <xdr:cNvPr id="13276" name="Rechthoek 13275"/>
        <xdr:cNvSpPr/>
      </xdr:nvSpPr>
      <xdr:spPr>
        <a:xfrm>
          <a:off x="12107654" y="3546065"/>
          <a:ext cx="38100" cy="11281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15</xdr:row>
      <xdr:rowOff>103487</xdr:rowOff>
    </xdr:from>
    <xdr:to>
      <xdr:col>14</xdr:col>
      <xdr:colOff>915779</xdr:colOff>
      <xdr:row>18</xdr:row>
      <xdr:rowOff>98026</xdr:rowOff>
    </xdr:to>
    <xdr:sp macro="" textlink="">
      <xdr:nvSpPr>
        <xdr:cNvPr id="13277" name="Rechthoek 13276"/>
        <xdr:cNvSpPr/>
      </xdr:nvSpPr>
      <xdr:spPr>
        <a:xfrm>
          <a:off x="12107654" y="2980037"/>
          <a:ext cx="38100" cy="5660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9</xdr:row>
      <xdr:rowOff>108078</xdr:rowOff>
    </xdr:from>
    <xdr:to>
      <xdr:col>14</xdr:col>
      <xdr:colOff>915779</xdr:colOff>
      <xdr:row>15</xdr:row>
      <xdr:rowOff>103506</xdr:rowOff>
    </xdr:to>
    <xdr:sp macro="" textlink="">
      <xdr:nvSpPr>
        <xdr:cNvPr id="13278" name="Rechthoek 13277"/>
        <xdr:cNvSpPr/>
      </xdr:nvSpPr>
      <xdr:spPr>
        <a:xfrm>
          <a:off x="12107654" y="1841628"/>
          <a:ext cx="38100" cy="11384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6</xdr:row>
      <xdr:rowOff>183387</xdr:rowOff>
    </xdr:from>
    <xdr:to>
      <xdr:col>14</xdr:col>
      <xdr:colOff>915779</xdr:colOff>
      <xdr:row>9</xdr:row>
      <xdr:rowOff>108076</xdr:rowOff>
    </xdr:to>
    <xdr:sp macro="" textlink="">
      <xdr:nvSpPr>
        <xdr:cNvPr id="13279" name="Rechthoek 13278"/>
        <xdr:cNvSpPr/>
      </xdr:nvSpPr>
      <xdr:spPr>
        <a:xfrm>
          <a:off x="12107654" y="1335912"/>
          <a:ext cx="38100" cy="5057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6</xdr:row>
      <xdr:rowOff>162930</xdr:rowOff>
    </xdr:from>
    <xdr:to>
      <xdr:col>14</xdr:col>
      <xdr:colOff>915779</xdr:colOff>
      <xdr:row>6</xdr:row>
      <xdr:rowOff>183377</xdr:rowOff>
    </xdr:to>
    <xdr:sp macro="" textlink="">
      <xdr:nvSpPr>
        <xdr:cNvPr id="13280" name="Rechthoek 13279"/>
        <xdr:cNvSpPr/>
      </xdr:nvSpPr>
      <xdr:spPr>
        <a:xfrm>
          <a:off x="12107654" y="1315455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922148</xdr:colOff>
      <xdr:row>3</xdr:row>
      <xdr:rowOff>182031</xdr:rowOff>
    </xdr:from>
    <xdr:to>
      <xdr:col>15</xdr:col>
      <xdr:colOff>139583</xdr:colOff>
      <xdr:row>6</xdr:row>
      <xdr:rowOff>183666</xdr:rowOff>
    </xdr:to>
    <xdr:sp macro="" textlink="">
      <xdr:nvSpPr>
        <xdr:cNvPr id="13281" name="Tekstvak 13280"/>
        <xdr:cNvSpPr txBox="1"/>
      </xdr:nvSpPr>
      <xdr:spPr>
        <a:xfrm rot="-3000000">
          <a:off x="11969573" y="936081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15</xdr:col>
      <xdr:colOff>646523</xdr:colOff>
      <xdr:row>27</xdr:row>
      <xdr:rowOff>98199</xdr:rowOff>
    </xdr:from>
    <xdr:to>
      <xdr:col>15</xdr:col>
      <xdr:colOff>684623</xdr:colOff>
      <xdr:row>30</xdr:row>
      <xdr:rowOff>5616</xdr:rowOff>
    </xdr:to>
    <xdr:sp macro="" textlink="">
      <xdr:nvSpPr>
        <xdr:cNvPr id="13282" name="Rechthoek 13281"/>
        <xdr:cNvSpPr/>
      </xdr:nvSpPr>
      <xdr:spPr>
        <a:xfrm>
          <a:off x="12876623" y="5260749"/>
          <a:ext cx="38100" cy="4789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24</xdr:row>
      <xdr:rowOff>9099</xdr:rowOff>
    </xdr:from>
    <xdr:to>
      <xdr:col>15</xdr:col>
      <xdr:colOff>684623</xdr:colOff>
      <xdr:row>27</xdr:row>
      <xdr:rowOff>98253</xdr:rowOff>
    </xdr:to>
    <xdr:sp macro="" textlink="">
      <xdr:nvSpPr>
        <xdr:cNvPr id="13283" name="Rechthoek 13282"/>
        <xdr:cNvSpPr/>
      </xdr:nvSpPr>
      <xdr:spPr>
        <a:xfrm>
          <a:off x="12876623" y="4600149"/>
          <a:ext cx="38100" cy="6606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18</xdr:row>
      <xdr:rowOff>111136</xdr:rowOff>
    </xdr:from>
    <xdr:to>
      <xdr:col>15</xdr:col>
      <xdr:colOff>684623</xdr:colOff>
      <xdr:row>24</xdr:row>
      <xdr:rowOff>9155</xdr:rowOff>
    </xdr:to>
    <xdr:sp macro="" textlink="">
      <xdr:nvSpPr>
        <xdr:cNvPr id="13284" name="Rechthoek 13283"/>
        <xdr:cNvSpPr/>
      </xdr:nvSpPr>
      <xdr:spPr>
        <a:xfrm>
          <a:off x="12876623" y="3559186"/>
          <a:ext cx="38100" cy="104101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15</xdr:row>
      <xdr:rowOff>24986</xdr:rowOff>
    </xdr:from>
    <xdr:to>
      <xdr:col>15</xdr:col>
      <xdr:colOff>684623</xdr:colOff>
      <xdr:row>18</xdr:row>
      <xdr:rowOff>111092</xdr:rowOff>
    </xdr:to>
    <xdr:sp macro="" textlink="">
      <xdr:nvSpPr>
        <xdr:cNvPr id="13285" name="Rechthoek 13284"/>
        <xdr:cNvSpPr/>
      </xdr:nvSpPr>
      <xdr:spPr>
        <a:xfrm>
          <a:off x="12876623" y="2901536"/>
          <a:ext cx="38100" cy="65760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9</xdr:row>
      <xdr:rowOff>111633</xdr:rowOff>
    </xdr:from>
    <xdr:to>
      <xdr:col>15</xdr:col>
      <xdr:colOff>684623</xdr:colOff>
      <xdr:row>15</xdr:row>
      <xdr:rowOff>25019</xdr:rowOff>
    </xdr:to>
    <xdr:sp macro="" textlink="">
      <xdr:nvSpPr>
        <xdr:cNvPr id="13286" name="Rechthoek 13285"/>
        <xdr:cNvSpPr/>
      </xdr:nvSpPr>
      <xdr:spPr>
        <a:xfrm>
          <a:off x="12876623" y="1845183"/>
          <a:ext cx="38100" cy="1056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6</xdr:row>
      <xdr:rowOff>115323</xdr:rowOff>
    </xdr:from>
    <xdr:to>
      <xdr:col>15</xdr:col>
      <xdr:colOff>684623</xdr:colOff>
      <xdr:row>9</xdr:row>
      <xdr:rowOff>111640</xdr:rowOff>
    </xdr:to>
    <xdr:sp macro="" textlink="">
      <xdr:nvSpPr>
        <xdr:cNvPr id="13287" name="Rechthoek 13286"/>
        <xdr:cNvSpPr/>
      </xdr:nvSpPr>
      <xdr:spPr>
        <a:xfrm>
          <a:off x="12876623" y="1267848"/>
          <a:ext cx="38100" cy="5773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6</xdr:row>
      <xdr:rowOff>94866</xdr:rowOff>
    </xdr:from>
    <xdr:to>
      <xdr:col>15</xdr:col>
      <xdr:colOff>684623</xdr:colOff>
      <xdr:row>6</xdr:row>
      <xdr:rowOff>115313</xdr:rowOff>
    </xdr:to>
    <xdr:sp macro="" textlink="">
      <xdr:nvSpPr>
        <xdr:cNvPr id="13288" name="Rechthoek 13287"/>
        <xdr:cNvSpPr/>
      </xdr:nvSpPr>
      <xdr:spPr>
        <a:xfrm>
          <a:off x="12876623" y="1247391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706047</xdr:colOff>
      <xdr:row>3</xdr:row>
      <xdr:rowOff>81682</xdr:rowOff>
    </xdr:from>
    <xdr:to>
      <xdr:col>16</xdr:col>
      <xdr:colOff>75882</xdr:colOff>
      <xdr:row>6</xdr:row>
      <xdr:rowOff>122622</xdr:rowOff>
    </xdr:to>
    <xdr:sp macro="" textlink="">
      <xdr:nvSpPr>
        <xdr:cNvPr id="13289" name="Tekstvak 13288"/>
        <xdr:cNvSpPr txBox="1"/>
      </xdr:nvSpPr>
      <xdr:spPr>
        <a:xfrm rot="-3000000">
          <a:off x="12733944" y="8553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99175</xdr:colOff>
      <xdr:row>27</xdr:row>
      <xdr:rowOff>90636</xdr:rowOff>
    </xdr:from>
    <xdr:to>
      <xdr:col>16</xdr:col>
      <xdr:colOff>137275</xdr:colOff>
      <xdr:row>29</xdr:row>
      <xdr:rowOff>168868</xdr:rowOff>
    </xdr:to>
    <xdr:sp macro="" textlink="">
      <xdr:nvSpPr>
        <xdr:cNvPr id="13290" name="Rechthoek 13289"/>
        <xdr:cNvSpPr/>
      </xdr:nvSpPr>
      <xdr:spPr>
        <a:xfrm>
          <a:off x="13177000" y="5253186"/>
          <a:ext cx="38100" cy="4592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23</xdr:row>
      <xdr:rowOff>178348</xdr:rowOff>
    </xdr:from>
    <xdr:to>
      <xdr:col>16</xdr:col>
      <xdr:colOff>137275</xdr:colOff>
      <xdr:row>27</xdr:row>
      <xdr:rowOff>90591</xdr:rowOff>
    </xdr:to>
    <xdr:sp macro="" textlink="">
      <xdr:nvSpPr>
        <xdr:cNvPr id="13291" name="Rechthoek 13290"/>
        <xdr:cNvSpPr/>
      </xdr:nvSpPr>
      <xdr:spPr>
        <a:xfrm>
          <a:off x="13177000" y="4578898"/>
          <a:ext cx="38100" cy="6742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18</xdr:row>
      <xdr:rowOff>96427</xdr:rowOff>
    </xdr:from>
    <xdr:to>
      <xdr:col>16</xdr:col>
      <xdr:colOff>137275</xdr:colOff>
      <xdr:row>23</xdr:row>
      <xdr:rowOff>178342</xdr:rowOff>
    </xdr:to>
    <xdr:sp macro="" textlink="">
      <xdr:nvSpPr>
        <xdr:cNvPr id="13292" name="Rechthoek 13291"/>
        <xdr:cNvSpPr/>
      </xdr:nvSpPr>
      <xdr:spPr>
        <a:xfrm>
          <a:off x="13177000" y="3544477"/>
          <a:ext cx="38100" cy="10344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15</xdr:row>
      <xdr:rowOff>1126</xdr:rowOff>
    </xdr:from>
    <xdr:to>
      <xdr:col>16</xdr:col>
      <xdr:colOff>137275</xdr:colOff>
      <xdr:row>18</xdr:row>
      <xdr:rowOff>96376</xdr:rowOff>
    </xdr:to>
    <xdr:sp macro="" textlink="">
      <xdr:nvSpPr>
        <xdr:cNvPr id="13293" name="Rechthoek 13292"/>
        <xdr:cNvSpPr/>
      </xdr:nvSpPr>
      <xdr:spPr>
        <a:xfrm>
          <a:off x="13177000" y="2877676"/>
          <a:ext cx="38100" cy="6667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9</xdr:row>
      <xdr:rowOff>99494</xdr:rowOff>
    </xdr:from>
    <xdr:to>
      <xdr:col>16</xdr:col>
      <xdr:colOff>137275</xdr:colOff>
      <xdr:row>15</xdr:row>
      <xdr:rowOff>1069</xdr:rowOff>
    </xdr:to>
    <xdr:sp macro="" textlink="">
      <xdr:nvSpPr>
        <xdr:cNvPr id="13294" name="Rechthoek 13293"/>
        <xdr:cNvSpPr/>
      </xdr:nvSpPr>
      <xdr:spPr>
        <a:xfrm>
          <a:off x="13177000" y="1833044"/>
          <a:ext cx="38100" cy="10445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6</xdr:row>
      <xdr:rowOff>69947</xdr:rowOff>
    </xdr:from>
    <xdr:to>
      <xdr:col>16</xdr:col>
      <xdr:colOff>137275</xdr:colOff>
      <xdr:row>9</xdr:row>
      <xdr:rowOff>99538</xdr:rowOff>
    </xdr:to>
    <xdr:sp macro="" textlink="">
      <xdr:nvSpPr>
        <xdr:cNvPr id="13295" name="Rechthoek 13294"/>
        <xdr:cNvSpPr/>
      </xdr:nvSpPr>
      <xdr:spPr>
        <a:xfrm>
          <a:off x="13177000" y="1222472"/>
          <a:ext cx="38100" cy="6106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6</xdr:row>
      <xdr:rowOff>67641</xdr:rowOff>
    </xdr:from>
    <xdr:to>
      <xdr:col>16</xdr:col>
      <xdr:colOff>137275</xdr:colOff>
      <xdr:row>6</xdr:row>
      <xdr:rowOff>69927</xdr:rowOff>
    </xdr:to>
    <xdr:sp macro="" textlink="">
      <xdr:nvSpPr>
        <xdr:cNvPr id="13296" name="Rechthoek 13295"/>
        <xdr:cNvSpPr/>
      </xdr:nvSpPr>
      <xdr:spPr>
        <a:xfrm>
          <a:off x="13177000" y="1220166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65202</xdr:colOff>
      <xdr:row>4</xdr:row>
      <xdr:rowOff>64464</xdr:rowOff>
    </xdr:from>
    <xdr:to>
      <xdr:col>16</xdr:col>
      <xdr:colOff>282762</xdr:colOff>
      <xdr:row>6</xdr:row>
      <xdr:rowOff>51799</xdr:rowOff>
    </xdr:to>
    <xdr:sp macro="" textlink="">
      <xdr:nvSpPr>
        <xdr:cNvPr id="13297" name="Tekstvak 13296"/>
        <xdr:cNvSpPr txBox="1"/>
      </xdr:nvSpPr>
      <xdr:spPr>
        <a:xfrm rot="-3000000">
          <a:off x="13062877" y="906614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303433</xdr:colOff>
      <xdr:row>27</xdr:row>
      <xdr:rowOff>132533</xdr:rowOff>
    </xdr:from>
    <xdr:to>
      <xdr:col>16</xdr:col>
      <xdr:colOff>341533</xdr:colOff>
      <xdr:row>29</xdr:row>
      <xdr:rowOff>150821</xdr:rowOff>
    </xdr:to>
    <xdr:sp macro="" textlink="">
      <xdr:nvSpPr>
        <xdr:cNvPr id="13298" name="Rechthoek 13297"/>
        <xdr:cNvSpPr/>
      </xdr:nvSpPr>
      <xdr:spPr>
        <a:xfrm>
          <a:off x="13381258" y="5295083"/>
          <a:ext cx="38100" cy="3992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23</xdr:row>
      <xdr:rowOff>127830</xdr:rowOff>
    </xdr:from>
    <xdr:to>
      <xdr:col>16</xdr:col>
      <xdr:colOff>341533</xdr:colOff>
      <xdr:row>27</xdr:row>
      <xdr:rowOff>132529</xdr:rowOff>
    </xdr:to>
    <xdr:sp macro="" textlink="">
      <xdr:nvSpPr>
        <xdr:cNvPr id="13299" name="Rechthoek 13298"/>
        <xdr:cNvSpPr/>
      </xdr:nvSpPr>
      <xdr:spPr>
        <a:xfrm>
          <a:off x="13381258" y="4528380"/>
          <a:ext cx="38100" cy="7666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18</xdr:row>
      <xdr:rowOff>131290</xdr:rowOff>
    </xdr:from>
    <xdr:to>
      <xdr:col>16</xdr:col>
      <xdr:colOff>341533</xdr:colOff>
      <xdr:row>23</xdr:row>
      <xdr:rowOff>127862</xdr:rowOff>
    </xdr:to>
    <xdr:sp macro="" textlink="">
      <xdr:nvSpPr>
        <xdr:cNvPr id="13300" name="Rechthoek 13299"/>
        <xdr:cNvSpPr/>
      </xdr:nvSpPr>
      <xdr:spPr>
        <a:xfrm>
          <a:off x="13381258" y="3579340"/>
          <a:ext cx="38100" cy="9490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14</xdr:row>
      <xdr:rowOff>140843</xdr:rowOff>
    </xdr:from>
    <xdr:to>
      <xdr:col>16</xdr:col>
      <xdr:colOff>341533</xdr:colOff>
      <xdr:row>18</xdr:row>
      <xdr:rowOff>131318</xdr:rowOff>
    </xdr:to>
    <xdr:sp macro="" textlink="">
      <xdr:nvSpPr>
        <xdr:cNvPr id="13301" name="Rechthoek 13300"/>
        <xdr:cNvSpPr/>
      </xdr:nvSpPr>
      <xdr:spPr>
        <a:xfrm>
          <a:off x="13381258" y="2826893"/>
          <a:ext cx="38100" cy="7524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9</xdr:row>
      <xdr:rowOff>130577</xdr:rowOff>
    </xdr:from>
    <xdr:to>
      <xdr:col>16</xdr:col>
      <xdr:colOff>341533</xdr:colOff>
      <xdr:row>14</xdr:row>
      <xdr:rowOff>140864</xdr:rowOff>
    </xdr:to>
    <xdr:sp macro="" textlink="">
      <xdr:nvSpPr>
        <xdr:cNvPr id="13302" name="Rechthoek 13301"/>
        <xdr:cNvSpPr/>
      </xdr:nvSpPr>
      <xdr:spPr>
        <a:xfrm>
          <a:off x="13381258" y="1864127"/>
          <a:ext cx="38100" cy="9627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6</xdr:row>
      <xdr:rowOff>69947</xdr:rowOff>
    </xdr:from>
    <xdr:to>
      <xdr:col>16</xdr:col>
      <xdr:colOff>341533</xdr:colOff>
      <xdr:row>9</xdr:row>
      <xdr:rowOff>130526</xdr:rowOff>
    </xdr:to>
    <xdr:sp macro="" textlink="">
      <xdr:nvSpPr>
        <xdr:cNvPr id="13303" name="Rechthoek 13302"/>
        <xdr:cNvSpPr/>
      </xdr:nvSpPr>
      <xdr:spPr>
        <a:xfrm>
          <a:off x="13381258" y="1222472"/>
          <a:ext cx="38100" cy="6416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6</xdr:row>
      <xdr:rowOff>49490</xdr:rowOff>
    </xdr:from>
    <xdr:to>
      <xdr:col>16</xdr:col>
      <xdr:colOff>341533</xdr:colOff>
      <xdr:row>6</xdr:row>
      <xdr:rowOff>69937</xdr:rowOff>
    </xdr:to>
    <xdr:sp macro="" textlink="">
      <xdr:nvSpPr>
        <xdr:cNvPr id="13304" name="Rechthoek 13303"/>
        <xdr:cNvSpPr/>
      </xdr:nvSpPr>
      <xdr:spPr>
        <a:xfrm>
          <a:off x="13381258" y="1202015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236721</xdr:colOff>
      <xdr:row>4</xdr:row>
      <xdr:rowOff>116519</xdr:rowOff>
    </xdr:from>
    <xdr:to>
      <xdr:col>16</xdr:col>
      <xdr:colOff>454281</xdr:colOff>
      <xdr:row>6</xdr:row>
      <xdr:rowOff>18382</xdr:rowOff>
    </xdr:to>
    <xdr:sp macro="" textlink="">
      <xdr:nvSpPr>
        <xdr:cNvPr id="13305" name="Tekstvak 13304"/>
        <xdr:cNvSpPr txBox="1"/>
      </xdr:nvSpPr>
      <xdr:spPr>
        <a:xfrm rot="-3000000">
          <a:off x="13277132" y="915933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411570</xdr:colOff>
      <xdr:row>27</xdr:row>
      <xdr:rowOff>150154</xdr:rowOff>
    </xdr:from>
    <xdr:to>
      <xdr:col>16</xdr:col>
      <xdr:colOff>449670</xdr:colOff>
      <xdr:row>29</xdr:row>
      <xdr:rowOff>134914</xdr:rowOff>
    </xdr:to>
    <xdr:sp macro="" textlink="">
      <xdr:nvSpPr>
        <xdr:cNvPr id="13306" name="Rechthoek 13305"/>
        <xdr:cNvSpPr/>
      </xdr:nvSpPr>
      <xdr:spPr>
        <a:xfrm>
          <a:off x="13489395" y="5312704"/>
          <a:ext cx="38100" cy="3657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23</xdr:row>
      <xdr:rowOff>111192</xdr:rowOff>
    </xdr:from>
    <xdr:to>
      <xdr:col>16</xdr:col>
      <xdr:colOff>449670</xdr:colOff>
      <xdr:row>27</xdr:row>
      <xdr:rowOff>150181</xdr:rowOff>
    </xdr:to>
    <xdr:sp macro="" textlink="">
      <xdr:nvSpPr>
        <xdr:cNvPr id="13307" name="Rechthoek 13306"/>
        <xdr:cNvSpPr/>
      </xdr:nvSpPr>
      <xdr:spPr>
        <a:xfrm>
          <a:off x="13489395" y="4511742"/>
          <a:ext cx="38100" cy="8009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18</xdr:row>
      <xdr:rowOff>147361</xdr:rowOff>
    </xdr:from>
    <xdr:to>
      <xdr:col>16</xdr:col>
      <xdr:colOff>449670</xdr:colOff>
      <xdr:row>23</xdr:row>
      <xdr:rowOff>111166</xdr:rowOff>
    </xdr:to>
    <xdr:sp macro="" textlink="">
      <xdr:nvSpPr>
        <xdr:cNvPr id="13308" name="Rechthoek 13307"/>
        <xdr:cNvSpPr/>
      </xdr:nvSpPr>
      <xdr:spPr>
        <a:xfrm>
          <a:off x="13489395" y="3595411"/>
          <a:ext cx="38100" cy="9163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14</xdr:row>
      <xdr:rowOff>124280</xdr:rowOff>
    </xdr:from>
    <xdr:to>
      <xdr:col>16</xdr:col>
      <xdr:colOff>449670</xdr:colOff>
      <xdr:row>18</xdr:row>
      <xdr:rowOff>147394</xdr:rowOff>
    </xdr:to>
    <xdr:sp macro="" textlink="">
      <xdr:nvSpPr>
        <xdr:cNvPr id="13309" name="Rechthoek 13308"/>
        <xdr:cNvSpPr/>
      </xdr:nvSpPr>
      <xdr:spPr>
        <a:xfrm>
          <a:off x="13489395" y="2810330"/>
          <a:ext cx="38100" cy="7851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9</xdr:row>
      <xdr:rowOff>146610</xdr:rowOff>
    </xdr:from>
    <xdr:to>
      <xdr:col>16</xdr:col>
      <xdr:colOff>449670</xdr:colOff>
      <xdr:row>14</xdr:row>
      <xdr:rowOff>124258</xdr:rowOff>
    </xdr:to>
    <xdr:sp macro="" textlink="">
      <xdr:nvSpPr>
        <xdr:cNvPr id="13310" name="Rechthoek 13309"/>
        <xdr:cNvSpPr/>
      </xdr:nvSpPr>
      <xdr:spPr>
        <a:xfrm>
          <a:off x="13489395" y="1880160"/>
          <a:ext cx="38100" cy="9301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6</xdr:row>
      <xdr:rowOff>47259</xdr:rowOff>
    </xdr:from>
    <xdr:to>
      <xdr:col>16</xdr:col>
      <xdr:colOff>449670</xdr:colOff>
      <xdr:row>9</xdr:row>
      <xdr:rowOff>146573</xdr:rowOff>
    </xdr:to>
    <xdr:sp macro="" textlink="">
      <xdr:nvSpPr>
        <xdr:cNvPr id="13311" name="Rechthoek 13310"/>
        <xdr:cNvSpPr/>
      </xdr:nvSpPr>
      <xdr:spPr>
        <a:xfrm>
          <a:off x="13489395" y="1199784"/>
          <a:ext cx="38100" cy="6803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6</xdr:row>
      <xdr:rowOff>33609</xdr:rowOff>
    </xdr:from>
    <xdr:to>
      <xdr:col>16</xdr:col>
      <xdr:colOff>449670</xdr:colOff>
      <xdr:row>6</xdr:row>
      <xdr:rowOff>47198</xdr:rowOff>
    </xdr:to>
    <xdr:sp macro="" textlink="">
      <xdr:nvSpPr>
        <xdr:cNvPr id="13312" name="Rechthoek 13311"/>
        <xdr:cNvSpPr/>
      </xdr:nvSpPr>
      <xdr:spPr>
        <a:xfrm>
          <a:off x="13489395" y="1186134"/>
          <a:ext cx="38100" cy="135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450612</xdr:colOff>
      <xdr:row>3</xdr:row>
      <xdr:rowOff>64350</xdr:rowOff>
    </xdr:from>
    <xdr:to>
      <xdr:col>16</xdr:col>
      <xdr:colOff>668172</xdr:colOff>
      <xdr:row>6</xdr:row>
      <xdr:rowOff>51814</xdr:rowOff>
    </xdr:to>
    <xdr:sp macro="" textlink="">
      <xdr:nvSpPr>
        <xdr:cNvPr id="13313" name="Tekstvak 13312"/>
        <xdr:cNvSpPr txBox="1"/>
      </xdr:nvSpPr>
      <xdr:spPr>
        <a:xfrm rot="-3000000">
          <a:off x="13352972" y="811315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16</xdr:col>
      <xdr:colOff>735978</xdr:colOff>
      <xdr:row>27</xdr:row>
      <xdr:rowOff>92640</xdr:rowOff>
    </xdr:from>
    <xdr:to>
      <xdr:col>16</xdr:col>
      <xdr:colOff>774078</xdr:colOff>
      <xdr:row>29</xdr:row>
      <xdr:rowOff>62287</xdr:rowOff>
    </xdr:to>
    <xdr:sp macro="" textlink="">
      <xdr:nvSpPr>
        <xdr:cNvPr id="13314" name="Rechthoek 13313"/>
        <xdr:cNvSpPr/>
      </xdr:nvSpPr>
      <xdr:spPr>
        <a:xfrm>
          <a:off x="13813803" y="5255190"/>
          <a:ext cx="38100" cy="3506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23</xdr:row>
      <xdr:rowOff>138607</xdr:rowOff>
    </xdr:from>
    <xdr:to>
      <xdr:col>16</xdr:col>
      <xdr:colOff>774078</xdr:colOff>
      <xdr:row>27</xdr:row>
      <xdr:rowOff>92633</xdr:rowOff>
    </xdr:to>
    <xdr:sp macro="" textlink="">
      <xdr:nvSpPr>
        <xdr:cNvPr id="13315" name="Rechthoek 13314"/>
        <xdr:cNvSpPr/>
      </xdr:nvSpPr>
      <xdr:spPr>
        <a:xfrm>
          <a:off x="13813803" y="4539157"/>
          <a:ext cx="38100" cy="7160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18</xdr:row>
      <xdr:rowOff>93288</xdr:rowOff>
    </xdr:from>
    <xdr:to>
      <xdr:col>16</xdr:col>
      <xdr:colOff>774078</xdr:colOff>
      <xdr:row>23</xdr:row>
      <xdr:rowOff>138627</xdr:rowOff>
    </xdr:to>
    <xdr:sp macro="" textlink="">
      <xdr:nvSpPr>
        <xdr:cNvPr id="13316" name="Rechthoek 13315"/>
        <xdr:cNvSpPr/>
      </xdr:nvSpPr>
      <xdr:spPr>
        <a:xfrm>
          <a:off x="13813803" y="3541338"/>
          <a:ext cx="38100" cy="9978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14</xdr:row>
      <xdr:rowOff>152376</xdr:rowOff>
    </xdr:from>
    <xdr:to>
      <xdr:col>16</xdr:col>
      <xdr:colOff>774078</xdr:colOff>
      <xdr:row>18</xdr:row>
      <xdr:rowOff>93321</xdr:rowOff>
    </xdr:to>
    <xdr:sp macro="" textlink="">
      <xdr:nvSpPr>
        <xdr:cNvPr id="13317" name="Rechthoek 13316"/>
        <xdr:cNvSpPr/>
      </xdr:nvSpPr>
      <xdr:spPr>
        <a:xfrm>
          <a:off x="13813803" y="2838426"/>
          <a:ext cx="38100" cy="7029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9</xdr:row>
      <xdr:rowOff>92726</xdr:rowOff>
    </xdr:from>
    <xdr:to>
      <xdr:col>16</xdr:col>
      <xdr:colOff>774078</xdr:colOff>
      <xdr:row>14</xdr:row>
      <xdr:rowOff>152416</xdr:rowOff>
    </xdr:to>
    <xdr:sp macro="" textlink="">
      <xdr:nvSpPr>
        <xdr:cNvPr id="13318" name="Rechthoek 13317"/>
        <xdr:cNvSpPr/>
      </xdr:nvSpPr>
      <xdr:spPr>
        <a:xfrm>
          <a:off x="13813803" y="1826276"/>
          <a:ext cx="38100" cy="10121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6</xdr:row>
      <xdr:rowOff>13038</xdr:rowOff>
    </xdr:from>
    <xdr:to>
      <xdr:col>16</xdr:col>
      <xdr:colOff>774078</xdr:colOff>
      <xdr:row>9</xdr:row>
      <xdr:rowOff>92667</xdr:rowOff>
    </xdr:to>
    <xdr:sp macro="" textlink="">
      <xdr:nvSpPr>
        <xdr:cNvPr id="13319" name="Rechthoek 13318"/>
        <xdr:cNvSpPr/>
      </xdr:nvSpPr>
      <xdr:spPr>
        <a:xfrm>
          <a:off x="13813803" y="1165563"/>
          <a:ext cx="38100" cy="6606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5</xdr:row>
      <xdr:rowOff>161032</xdr:rowOff>
    </xdr:from>
    <xdr:to>
      <xdr:col>16</xdr:col>
      <xdr:colOff>774078</xdr:colOff>
      <xdr:row>6</xdr:row>
      <xdr:rowOff>13077</xdr:rowOff>
    </xdr:to>
    <xdr:sp macro="" textlink="">
      <xdr:nvSpPr>
        <xdr:cNvPr id="13320" name="Rechthoek 13319"/>
        <xdr:cNvSpPr/>
      </xdr:nvSpPr>
      <xdr:spPr>
        <a:xfrm>
          <a:off x="13813803" y="1113532"/>
          <a:ext cx="38100" cy="520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779637</xdr:colOff>
      <xdr:row>2</xdr:row>
      <xdr:rowOff>172346</xdr:rowOff>
    </xdr:from>
    <xdr:to>
      <xdr:col>17</xdr:col>
      <xdr:colOff>149472</xdr:colOff>
      <xdr:row>5</xdr:row>
      <xdr:rowOff>181390</xdr:rowOff>
    </xdr:to>
    <xdr:sp macro="" textlink="">
      <xdr:nvSpPr>
        <xdr:cNvPr id="13321" name="Tekstvak 13320"/>
        <xdr:cNvSpPr txBox="1"/>
      </xdr:nvSpPr>
      <xdr:spPr>
        <a:xfrm rot="-3000000">
          <a:off x="13675970" y="734838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16</xdr:col>
      <xdr:colOff>808070</xdr:colOff>
      <xdr:row>27</xdr:row>
      <xdr:rowOff>141041</xdr:rowOff>
    </xdr:from>
    <xdr:to>
      <xdr:col>16</xdr:col>
      <xdr:colOff>846170</xdr:colOff>
      <xdr:row>29</xdr:row>
      <xdr:rowOff>46426</xdr:rowOff>
    </xdr:to>
    <xdr:sp macro="" textlink="">
      <xdr:nvSpPr>
        <xdr:cNvPr id="13322" name="Rechthoek 13321"/>
        <xdr:cNvSpPr/>
      </xdr:nvSpPr>
      <xdr:spPr>
        <a:xfrm>
          <a:off x="13885895" y="5303591"/>
          <a:ext cx="38100" cy="286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23</xdr:row>
      <xdr:rowOff>94024</xdr:rowOff>
    </xdr:from>
    <xdr:to>
      <xdr:col>16</xdr:col>
      <xdr:colOff>846170</xdr:colOff>
      <xdr:row>27</xdr:row>
      <xdr:rowOff>141015</xdr:rowOff>
    </xdr:to>
    <xdr:sp macro="" textlink="">
      <xdr:nvSpPr>
        <xdr:cNvPr id="13323" name="Rechthoek 13322"/>
        <xdr:cNvSpPr/>
      </xdr:nvSpPr>
      <xdr:spPr>
        <a:xfrm>
          <a:off x="13885895" y="4494574"/>
          <a:ext cx="38100" cy="8089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18</xdr:row>
      <xdr:rowOff>137568</xdr:rowOff>
    </xdr:from>
    <xdr:to>
      <xdr:col>16</xdr:col>
      <xdr:colOff>846170</xdr:colOff>
      <xdr:row>23</xdr:row>
      <xdr:rowOff>94007</xdr:rowOff>
    </xdr:to>
    <xdr:sp macro="" textlink="">
      <xdr:nvSpPr>
        <xdr:cNvPr id="13324" name="Rechthoek 13323"/>
        <xdr:cNvSpPr/>
      </xdr:nvSpPr>
      <xdr:spPr>
        <a:xfrm>
          <a:off x="13885895" y="3585618"/>
          <a:ext cx="38100" cy="9089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14</xdr:row>
      <xdr:rowOff>108210</xdr:rowOff>
    </xdr:from>
    <xdr:to>
      <xdr:col>16</xdr:col>
      <xdr:colOff>846170</xdr:colOff>
      <xdr:row>18</xdr:row>
      <xdr:rowOff>137547</xdr:rowOff>
    </xdr:to>
    <xdr:sp macro="" textlink="">
      <xdr:nvSpPr>
        <xdr:cNvPr id="13325" name="Rechthoek 13324"/>
        <xdr:cNvSpPr/>
      </xdr:nvSpPr>
      <xdr:spPr>
        <a:xfrm>
          <a:off x="13885895" y="2794260"/>
          <a:ext cx="38100" cy="7913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9</xdr:row>
      <xdr:rowOff>137497</xdr:rowOff>
    </xdr:from>
    <xdr:to>
      <xdr:col>16</xdr:col>
      <xdr:colOff>846170</xdr:colOff>
      <xdr:row>14</xdr:row>
      <xdr:rowOff>108160</xdr:rowOff>
    </xdr:to>
    <xdr:sp macro="" textlink="">
      <xdr:nvSpPr>
        <xdr:cNvPr id="13326" name="Rechthoek 13325"/>
        <xdr:cNvSpPr/>
      </xdr:nvSpPr>
      <xdr:spPr>
        <a:xfrm>
          <a:off x="13885895" y="1871047"/>
          <a:ext cx="38100" cy="9231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5</xdr:row>
      <xdr:rowOff>171090</xdr:rowOff>
    </xdr:from>
    <xdr:to>
      <xdr:col>16</xdr:col>
      <xdr:colOff>846170</xdr:colOff>
      <xdr:row>9</xdr:row>
      <xdr:rowOff>137435</xdr:rowOff>
    </xdr:to>
    <xdr:sp macro="" textlink="">
      <xdr:nvSpPr>
        <xdr:cNvPr id="13327" name="Rechthoek 13326"/>
        <xdr:cNvSpPr/>
      </xdr:nvSpPr>
      <xdr:spPr>
        <a:xfrm>
          <a:off x="13885895" y="1123590"/>
          <a:ext cx="38100" cy="7473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5</xdr:row>
      <xdr:rowOff>145150</xdr:rowOff>
    </xdr:from>
    <xdr:to>
      <xdr:col>16</xdr:col>
      <xdr:colOff>846170</xdr:colOff>
      <xdr:row>5</xdr:row>
      <xdr:rowOff>171058</xdr:rowOff>
    </xdr:to>
    <xdr:sp macro="" textlink="">
      <xdr:nvSpPr>
        <xdr:cNvPr id="13328" name="Rechthoek 13327"/>
        <xdr:cNvSpPr/>
      </xdr:nvSpPr>
      <xdr:spPr>
        <a:xfrm>
          <a:off x="13885895" y="1097650"/>
          <a:ext cx="38100" cy="259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840063</xdr:colOff>
      <xdr:row>2</xdr:row>
      <xdr:rowOff>181481</xdr:rowOff>
    </xdr:from>
    <xdr:to>
      <xdr:col>17</xdr:col>
      <xdr:colOff>209898</xdr:colOff>
      <xdr:row>5</xdr:row>
      <xdr:rowOff>160068</xdr:rowOff>
    </xdr:to>
    <xdr:sp macro="" textlink="">
      <xdr:nvSpPr>
        <xdr:cNvPr id="13329" name="Tekstvak 13328"/>
        <xdr:cNvSpPr txBox="1"/>
      </xdr:nvSpPr>
      <xdr:spPr>
        <a:xfrm rot="-3000000">
          <a:off x="13751624" y="728745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44450</xdr:colOff>
      <xdr:row>27</xdr:row>
      <xdr:rowOff>141041</xdr:rowOff>
    </xdr:from>
    <xdr:to>
      <xdr:col>17</xdr:col>
      <xdr:colOff>82550</xdr:colOff>
      <xdr:row>29</xdr:row>
      <xdr:rowOff>28265</xdr:rowOff>
    </xdr:to>
    <xdr:sp macro="" textlink="">
      <xdr:nvSpPr>
        <xdr:cNvPr id="13330" name="Rechthoek 13329"/>
        <xdr:cNvSpPr/>
      </xdr:nvSpPr>
      <xdr:spPr>
        <a:xfrm>
          <a:off x="13970000" y="5303591"/>
          <a:ext cx="38100" cy="2682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23</xdr:row>
      <xdr:rowOff>94024</xdr:rowOff>
    </xdr:from>
    <xdr:to>
      <xdr:col>17</xdr:col>
      <xdr:colOff>82550</xdr:colOff>
      <xdr:row>27</xdr:row>
      <xdr:rowOff>141015</xdr:rowOff>
    </xdr:to>
    <xdr:sp macro="" textlink="">
      <xdr:nvSpPr>
        <xdr:cNvPr id="13331" name="Rechthoek 13330"/>
        <xdr:cNvSpPr/>
      </xdr:nvSpPr>
      <xdr:spPr>
        <a:xfrm>
          <a:off x="13970000" y="4494574"/>
          <a:ext cx="38100" cy="8089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18</xdr:row>
      <xdr:rowOff>137568</xdr:rowOff>
    </xdr:from>
    <xdr:to>
      <xdr:col>17</xdr:col>
      <xdr:colOff>82550</xdr:colOff>
      <xdr:row>23</xdr:row>
      <xdr:rowOff>94007</xdr:rowOff>
    </xdr:to>
    <xdr:sp macro="" textlink="">
      <xdr:nvSpPr>
        <xdr:cNvPr id="13332" name="Rechthoek 13331"/>
        <xdr:cNvSpPr/>
      </xdr:nvSpPr>
      <xdr:spPr>
        <a:xfrm>
          <a:off x="13970000" y="3585618"/>
          <a:ext cx="38100" cy="9089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14</xdr:row>
      <xdr:rowOff>108210</xdr:rowOff>
    </xdr:from>
    <xdr:to>
      <xdr:col>17</xdr:col>
      <xdr:colOff>82550</xdr:colOff>
      <xdr:row>18</xdr:row>
      <xdr:rowOff>137547</xdr:rowOff>
    </xdr:to>
    <xdr:sp macro="" textlink="">
      <xdr:nvSpPr>
        <xdr:cNvPr id="13333" name="Rechthoek 13332"/>
        <xdr:cNvSpPr/>
      </xdr:nvSpPr>
      <xdr:spPr>
        <a:xfrm>
          <a:off x="13970000" y="2794260"/>
          <a:ext cx="38100" cy="7913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9</xdr:row>
      <xdr:rowOff>137497</xdr:rowOff>
    </xdr:from>
    <xdr:to>
      <xdr:col>17</xdr:col>
      <xdr:colOff>82550</xdr:colOff>
      <xdr:row>14</xdr:row>
      <xdr:rowOff>108160</xdr:rowOff>
    </xdr:to>
    <xdr:sp macro="" textlink="">
      <xdr:nvSpPr>
        <xdr:cNvPr id="13334" name="Rechthoek 13333"/>
        <xdr:cNvSpPr/>
      </xdr:nvSpPr>
      <xdr:spPr>
        <a:xfrm>
          <a:off x="13970000" y="1871047"/>
          <a:ext cx="38100" cy="9231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5</xdr:row>
      <xdr:rowOff>171090</xdr:rowOff>
    </xdr:from>
    <xdr:to>
      <xdr:col>17</xdr:col>
      <xdr:colOff>82550</xdr:colOff>
      <xdr:row>9</xdr:row>
      <xdr:rowOff>137435</xdr:rowOff>
    </xdr:to>
    <xdr:sp macro="" textlink="">
      <xdr:nvSpPr>
        <xdr:cNvPr id="13335" name="Rechthoek 13334"/>
        <xdr:cNvSpPr/>
      </xdr:nvSpPr>
      <xdr:spPr>
        <a:xfrm>
          <a:off x="13970000" y="1123590"/>
          <a:ext cx="38100" cy="7473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5</xdr:row>
      <xdr:rowOff>127000</xdr:rowOff>
    </xdr:from>
    <xdr:to>
      <xdr:col>17</xdr:col>
      <xdr:colOff>82550</xdr:colOff>
      <xdr:row>5</xdr:row>
      <xdr:rowOff>171069</xdr:rowOff>
    </xdr:to>
    <xdr:sp macro="" textlink="">
      <xdr:nvSpPr>
        <xdr:cNvPr id="13336" name="Rechthoek 13335"/>
        <xdr:cNvSpPr/>
      </xdr:nvSpPr>
      <xdr:spPr>
        <a:xfrm>
          <a:off x="13970000" y="1079500"/>
          <a:ext cx="38100" cy="440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99825</xdr:colOff>
      <xdr:row>2</xdr:row>
      <xdr:rowOff>113192</xdr:rowOff>
    </xdr:from>
    <xdr:to>
      <xdr:col>17</xdr:col>
      <xdr:colOff>317385</xdr:colOff>
      <xdr:row>5</xdr:row>
      <xdr:rowOff>152821</xdr:rowOff>
    </xdr:to>
    <xdr:sp macro="" textlink="">
      <xdr:nvSpPr>
        <xdr:cNvPr id="13337" name="Tekstvak 13336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311024</xdr:colOff>
      <xdr:row>19</xdr:row>
      <xdr:rowOff>108531</xdr:rowOff>
    </xdr:from>
    <xdr:to>
      <xdr:col>6</xdr:col>
      <xdr:colOff>993775</xdr:colOff>
      <xdr:row>20</xdr:row>
      <xdr:rowOff>135591</xdr:rowOff>
    </xdr:to>
    <xdr:sp macro="" textlink="">
      <xdr:nvSpPr>
        <xdr:cNvPr id="13338" name="Tekstvak 13337"/>
        <xdr:cNvSpPr txBox="1"/>
      </xdr:nvSpPr>
      <xdr:spPr>
        <a:xfrm>
          <a:off x="4397249" y="3747081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06-02 10:07</a:t>
          </a:r>
        </a:p>
      </xdr:txBody>
    </xdr:sp>
    <xdr:clientData/>
  </xdr:twoCellAnchor>
  <xdr:twoCellAnchor editAs="absolute">
    <xdr:from>
      <xdr:col>6</xdr:col>
      <xdr:colOff>311024</xdr:colOff>
      <xdr:row>17</xdr:row>
      <xdr:rowOff>133044</xdr:rowOff>
    </xdr:from>
    <xdr:to>
      <xdr:col>6</xdr:col>
      <xdr:colOff>993775</xdr:colOff>
      <xdr:row>18</xdr:row>
      <xdr:rowOff>160104</xdr:rowOff>
    </xdr:to>
    <xdr:sp macro="" textlink="">
      <xdr:nvSpPr>
        <xdr:cNvPr id="13339" name="Tekstvak 13338"/>
        <xdr:cNvSpPr txBox="1"/>
      </xdr:nvSpPr>
      <xdr:spPr>
        <a:xfrm>
          <a:off x="4397249" y="339059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06-02 11:08</a:t>
          </a:r>
        </a:p>
      </xdr:txBody>
    </xdr:sp>
    <xdr:clientData/>
  </xdr:twoCellAnchor>
  <xdr:twoCellAnchor editAs="absolute">
    <xdr:from>
      <xdr:col>6</xdr:col>
      <xdr:colOff>993775</xdr:colOff>
      <xdr:row>19</xdr:row>
      <xdr:rowOff>60885</xdr:rowOff>
    </xdr:from>
    <xdr:to>
      <xdr:col>7</xdr:col>
      <xdr:colOff>578283</xdr:colOff>
      <xdr:row>19</xdr:row>
      <xdr:rowOff>108531</xdr:rowOff>
    </xdr:to>
    <xdr:cxnSp macro="">
      <xdr:nvCxnSpPr>
        <xdr:cNvPr id="13340" name="Rechte verbindingslijn met pijl 13339"/>
        <xdr:cNvCxnSpPr/>
      </xdr:nvCxnSpPr>
      <xdr:spPr>
        <a:xfrm flipV="1">
          <a:off x="5080000" y="3699435"/>
          <a:ext cx="660833" cy="476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993775</xdr:colOff>
      <xdr:row>18</xdr:row>
      <xdr:rowOff>112459</xdr:rowOff>
    </xdr:from>
    <xdr:to>
      <xdr:col>7</xdr:col>
      <xdr:colOff>578283</xdr:colOff>
      <xdr:row>18</xdr:row>
      <xdr:rowOff>160104</xdr:rowOff>
    </xdr:to>
    <xdr:cxnSp macro="">
      <xdr:nvCxnSpPr>
        <xdr:cNvPr id="13341" name="Rechte verbindingslijn met pijl 13340"/>
        <xdr:cNvCxnSpPr/>
      </xdr:nvCxnSpPr>
      <xdr:spPr>
        <a:xfrm flipV="1">
          <a:off x="5080000" y="3560509"/>
          <a:ext cx="660833" cy="476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578283</xdr:colOff>
      <xdr:row>19</xdr:row>
      <xdr:rowOff>29122</xdr:rowOff>
    </xdr:from>
    <xdr:to>
      <xdr:col>8</xdr:col>
      <xdr:colOff>196571</xdr:colOff>
      <xdr:row>19</xdr:row>
      <xdr:rowOff>60885</xdr:rowOff>
    </xdr:to>
    <xdr:cxnSp macro="">
      <xdr:nvCxnSpPr>
        <xdr:cNvPr id="13342" name="Rechte verbindingslijn met pijl 13341"/>
        <xdr:cNvCxnSpPr/>
      </xdr:nvCxnSpPr>
      <xdr:spPr>
        <a:xfrm flipV="1">
          <a:off x="5740833" y="3667672"/>
          <a:ext cx="446963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578283</xdr:colOff>
      <xdr:row>18</xdr:row>
      <xdr:rowOff>80696</xdr:rowOff>
    </xdr:from>
    <xdr:to>
      <xdr:col>8</xdr:col>
      <xdr:colOff>196571</xdr:colOff>
      <xdr:row>18</xdr:row>
      <xdr:rowOff>112459</xdr:rowOff>
    </xdr:to>
    <xdr:cxnSp macro="">
      <xdr:nvCxnSpPr>
        <xdr:cNvPr id="13343" name="Rechte verbindingslijn met pijl 13342"/>
        <xdr:cNvCxnSpPr/>
      </xdr:nvCxnSpPr>
      <xdr:spPr>
        <a:xfrm flipV="1">
          <a:off x="5740833" y="3528746"/>
          <a:ext cx="446963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196571</xdr:colOff>
      <xdr:row>19</xdr:row>
      <xdr:rowOff>1897</xdr:rowOff>
    </xdr:from>
    <xdr:to>
      <xdr:col>8</xdr:col>
      <xdr:colOff>582257</xdr:colOff>
      <xdr:row>19</xdr:row>
      <xdr:rowOff>29122</xdr:rowOff>
    </xdr:to>
    <xdr:cxnSp macro="">
      <xdr:nvCxnSpPr>
        <xdr:cNvPr id="13344" name="Rechte verbindingslijn met pijl 13343"/>
        <xdr:cNvCxnSpPr/>
      </xdr:nvCxnSpPr>
      <xdr:spPr>
        <a:xfrm flipV="1">
          <a:off x="6187796" y="3640447"/>
          <a:ext cx="385686" cy="272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196571</xdr:colOff>
      <xdr:row>18</xdr:row>
      <xdr:rowOff>53470</xdr:rowOff>
    </xdr:from>
    <xdr:to>
      <xdr:col>8</xdr:col>
      <xdr:colOff>582257</xdr:colOff>
      <xdr:row>18</xdr:row>
      <xdr:rowOff>80696</xdr:rowOff>
    </xdr:to>
    <xdr:cxnSp macro="">
      <xdr:nvCxnSpPr>
        <xdr:cNvPr id="13345" name="Rechte verbindingslijn met pijl 13344"/>
        <xdr:cNvCxnSpPr/>
      </xdr:nvCxnSpPr>
      <xdr:spPr>
        <a:xfrm flipV="1">
          <a:off x="6187796" y="3501520"/>
          <a:ext cx="385686" cy="27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582257</xdr:colOff>
      <xdr:row>18</xdr:row>
      <xdr:rowOff>181053</xdr:rowOff>
    </xdr:from>
    <xdr:to>
      <xdr:col>8</xdr:col>
      <xdr:colOff>756476</xdr:colOff>
      <xdr:row>19</xdr:row>
      <xdr:rowOff>1897</xdr:rowOff>
    </xdr:to>
    <xdr:cxnSp macro="">
      <xdr:nvCxnSpPr>
        <xdr:cNvPr id="13346" name="Rechte verbindingslijn met pijl 13345"/>
        <xdr:cNvCxnSpPr/>
      </xdr:nvCxnSpPr>
      <xdr:spPr>
        <a:xfrm flipV="1">
          <a:off x="6573482" y="3629103"/>
          <a:ext cx="174219" cy="113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582257</xdr:colOff>
      <xdr:row>18</xdr:row>
      <xdr:rowOff>42126</xdr:rowOff>
    </xdr:from>
    <xdr:to>
      <xdr:col>8</xdr:col>
      <xdr:colOff>756476</xdr:colOff>
      <xdr:row>18</xdr:row>
      <xdr:rowOff>53470</xdr:rowOff>
    </xdr:to>
    <xdr:cxnSp macro="">
      <xdr:nvCxnSpPr>
        <xdr:cNvPr id="13347" name="Rechte verbindingslijn met pijl 13346"/>
        <xdr:cNvCxnSpPr/>
      </xdr:nvCxnSpPr>
      <xdr:spPr>
        <a:xfrm flipV="1">
          <a:off x="6573482" y="3490176"/>
          <a:ext cx="174219" cy="113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756476</xdr:colOff>
      <xdr:row>18</xdr:row>
      <xdr:rowOff>149290</xdr:rowOff>
    </xdr:from>
    <xdr:to>
      <xdr:col>9</xdr:col>
      <xdr:colOff>151998</xdr:colOff>
      <xdr:row>18</xdr:row>
      <xdr:rowOff>181053</xdr:rowOff>
    </xdr:to>
    <xdr:cxnSp macro="">
      <xdr:nvCxnSpPr>
        <xdr:cNvPr id="13348" name="Rechte verbindingslijn met pijl 13347"/>
        <xdr:cNvCxnSpPr/>
      </xdr:nvCxnSpPr>
      <xdr:spPr>
        <a:xfrm flipV="1">
          <a:off x="6747701" y="3597340"/>
          <a:ext cx="433747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756476</xdr:colOff>
      <xdr:row>18</xdr:row>
      <xdr:rowOff>10363</xdr:rowOff>
    </xdr:from>
    <xdr:to>
      <xdr:col>9</xdr:col>
      <xdr:colOff>151998</xdr:colOff>
      <xdr:row>18</xdr:row>
      <xdr:rowOff>42126</xdr:rowOff>
    </xdr:to>
    <xdr:cxnSp macro="">
      <xdr:nvCxnSpPr>
        <xdr:cNvPr id="13349" name="Rechte verbindingslijn met pijl 13348"/>
        <xdr:cNvCxnSpPr/>
      </xdr:nvCxnSpPr>
      <xdr:spPr>
        <a:xfrm flipV="1">
          <a:off x="6747701" y="3458413"/>
          <a:ext cx="433747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151998</xdr:colOff>
      <xdr:row>18</xdr:row>
      <xdr:rowOff>142483</xdr:rowOff>
    </xdr:from>
    <xdr:to>
      <xdr:col>9</xdr:col>
      <xdr:colOff>245716</xdr:colOff>
      <xdr:row>18</xdr:row>
      <xdr:rowOff>149290</xdr:rowOff>
    </xdr:to>
    <xdr:cxnSp macro="">
      <xdr:nvCxnSpPr>
        <xdr:cNvPr id="13350" name="Rechte verbindingslijn met pijl 13349"/>
        <xdr:cNvCxnSpPr/>
      </xdr:nvCxnSpPr>
      <xdr:spPr>
        <a:xfrm flipV="1">
          <a:off x="7181448" y="3590533"/>
          <a:ext cx="93718" cy="68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151998</xdr:colOff>
      <xdr:row>18</xdr:row>
      <xdr:rowOff>3557</xdr:rowOff>
    </xdr:from>
    <xdr:to>
      <xdr:col>9</xdr:col>
      <xdr:colOff>245716</xdr:colOff>
      <xdr:row>18</xdr:row>
      <xdr:rowOff>10363</xdr:rowOff>
    </xdr:to>
    <xdr:cxnSp macro="">
      <xdr:nvCxnSpPr>
        <xdr:cNvPr id="13351" name="Rechte verbindingslijn met pijl 13350"/>
        <xdr:cNvCxnSpPr/>
      </xdr:nvCxnSpPr>
      <xdr:spPr>
        <a:xfrm flipV="1">
          <a:off x="7181448" y="3451607"/>
          <a:ext cx="93718" cy="68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245716</xdr:colOff>
      <xdr:row>18</xdr:row>
      <xdr:rowOff>108451</xdr:rowOff>
    </xdr:from>
    <xdr:to>
      <xdr:col>10</xdr:col>
      <xdr:colOff>148813</xdr:colOff>
      <xdr:row>18</xdr:row>
      <xdr:rowOff>142483</xdr:rowOff>
    </xdr:to>
    <xdr:cxnSp macro="">
      <xdr:nvCxnSpPr>
        <xdr:cNvPr id="13352" name="Rechte verbindingslijn met pijl 13351"/>
        <xdr:cNvCxnSpPr/>
      </xdr:nvCxnSpPr>
      <xdr:spPr>
        <a:xfrm flipV="1">
          <a:off x="7275166" y="3556501"/>
          <a:ext cx="474597" cy="3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245716</xdr:colOff>
      <xdr:row>17</xdr:row>
      <xdr:rowOff>160025</xdr:rowOff>
    </xdr:from>
    <xdr:to>
      <xdr:col>10</xdr:col>
      <xdr:colOff>148813</xdr:colOff>
      <xdr:row>18</xdr:row>
      <xdr:rowOff>3557</xdr:rowOff>
    </xdr:to>
    <xdr:cxnSp macro="">
      <xdr:nvCxnSpPr>
        <xdr:cNvPr id="13353" name="Rechte verbindingslijn met pijl 13352"/>
        <xdr:cNvCxnSpPr/>
      </xdr:nvCxnSpPr>
      <xdr:spPr>
        <a:xfrm flipV="1">
          <a:off x="7275166" y="3417575"/>
          <a:ext cx="474597" cy="3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148813</xdr:colOff>
      <xdr:row>18</xdr:row>
      <xdr:rowOff>99376</xdr:rowOff>
    </xdr:from>
    <xdr:to>
      <xdr:col>10</xdr:col>
      <xdr:colOff>291794</xdr:colOff>
      <xdr:row>18</xdr:row>
      <xdr:rowOff>108451</xdr:rowOff>
    </xdr:to>
    <xdr:cxnSp macro="">
      <xdr:nvCxnSpPr>
        <xdr:cNvPr id="13354" name="Rechte verbindingslijn met pijl 13353"/>
        <xdr:cNvCxnSpPr/>
      </xdr:nvCxnSpPr>
      <xdr:spPr>
        <a:xfrm flipV="1">
          <a:off x="7749763" y="3547426"/>
          <a:ext cx="142981" cy="90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148813</xdr:colOff>
      <xdr:row>17</xdr:row>
      <xdr:rowOff>150950</xdr:rowOff>
    </xdr:from>
    <xdr:to>
      <xdr:col>10</xdr:col>
      <xdr:colOff>291794</xdr:colOff>
      <xdr:row>17</xdr:row>
      <xdr:rowOff>160025</xdr:rowOff>
    </xdr:to>
    <xdr:cxnSp macro="">
      <xdr:nvCxnSpPr>
        <xdr:cNvPr id="13355" name="Rechte verbindingslijn met pijl 13354"/>
        <xdr:cNvCxnSpPr/>
      </xdr:nvCxnSpPr>
      <xdr:spPr>
        <a:xfrm flipV="1">
          <a:off x="7749763" y="3408500"/>
          <a:ext cx="142981" cy="90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291794</xdr:colOff>
      <xdr:row>18</xdr:row>
      <xdr:rowOff>76688</xdr:rowOff>
    </xdr:from>
    <xdr:to>
      <xdr:col>10</xdr:col>
      <xdr:colOff>621009</xdr:colOff>
      <xdr:row>18</xdr:row>
      <xdr:rowOff>99376</xdr:rowOff>
    </xdr:to>
    <xdr:cxnSp macro="">
      <xdr:nvCxnSpPr>
        <xdr:cNvPr id="13356" name="Rechte verbindingslijn met pijl 13355"/>
        <xdr:cNvCxnSpPr/>
      </xdr:nvCxnSpPr>
      <xdr:spPr>
        <a:xfrm flipV="1">
          <a:off x="7892744" y="3524738"/>
          <a:ext cx="329215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291794</xdr:colOff>
      <xdr:row>17</xdr:row>
      <xdr:rowOff>128262</xdr:rowOff>
    </xdr:from>
    <xdr:to>
      <xdr:col>10</xdr:col>
      <xdr:colOff>621009</xdr:colOff>
      <xdr:row>17</xdr:row>
      <xdr:rowOff>150950</xdr:rowOff>
    </xdr:to>
    <xdr:cxnSp macro="">
      <xdr:nvCxnSpPr>
        <xdr:cNvPr id="13357" name="Rechte verbindingslijn met pijl 13356"/>
        <xdr:cNvCxnSpPr/>
      </xdr:nvCxnSpPr>
      <xdr:spPr>
        <a:xfrm flipV="1">
          <a:off x="7892744" y="3385812"/>
          <a:ext cx="329215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621009</xdr:colOff>
      <xdr:row>18</xdr:row>
      <xdr:rowOff>63075</xdr:rowOff>
    </xdr:from>
    <xdr:to>
      <xdr:col>10</xdr:col>
      <xdr:colOff>812049</xdr:colOff>
      <xdr:row>18</xdr:row>
      <xdr:rowOff>76688</xdr:rowOff>
    </xdr:to>
    <xdr:cxnSp macro="">
      <xdr:nvCxnSpPr>
        <xdr:cNvPr id="13358" name="Rechte verbindingslijn met pijl 13357"/>
        <xdr:cNvCxnSpPr/>
      </xdr:nvCxnSpPr>
      <xdr:spPr>
        <a:xfrm flipV="1">
          <a:off x="8221959" y="3511125"/>
          <a:ext cx="191040" cy="136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621009</xdr:colOff>
      <xdr:row>17</xdr:row>
      <xdr:rowOff>114649</xdr:rowOff>
    </xdr:from>
    <xdr:to>
      <xdr:col>10</xdr:col>
      <xdr:colOff>812049</xdr:colOff>
      <xdr:row>17</xdr:row>
      <xdr:rowOff>128262</xdr:rowOff>
    </xdr:to>
    <xdr:cxnSp macro="">
      <xdr:nvCxnSpPr>
        <xdr:cNvPr id="13359" name="Rechte verbindingslijn met pijl 13358"/>
        <xdr:cNvCxnSpPr/>
      </xdr:nvCxnSpPr>
      <xdr:spPr>
        <a:xfrm flipV="1">
          <a:off x="8221959" y="3372199"/>
          <a:ext cx="191040" cy="136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812049</xdr:colOff>
      <xdr:row>18</xdr:row>
      <xdr:rowOff>47194</xdr:rowOff>
    </xdr:from>
    <xdr:to>
      <xdr:col>11</xdr:col>
      <xdr:colOff>31888</xdr:colOff>
      <xdr:row>18</xdr:row>
      <xdr:rowOff>63075</xdr:rowOff>
    </xdr:to>
    <xdr:cxnSp macro="">
      <xdr:nvCxnSpPr>
        <xdr:cNvPr id="13360" name="Rechte verbindingslijn met pijl 13359"/>
        <xdr:cNvCxnSpPr/>
      </xdr:nvCxnSpPr>
      <xdr:spPr>
        <a:xfrm flipV="1">
          <a:off x="8412999" y="3495244"/>
          <a:ext cx="229489" cy="158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812049</xdr:colOff>
      <xdr:row>17</xdr:row>
      <xdr:rowOff>98767</xdr:rowOff>
    </xdr:from>
    <xdr:to>
      <xdr:col>11</xdr:col>
      <xdr:colOff>31888</xdr:colOff>
      <xdr:row>17</xdr:row>
      <xdr:rowOff>114649</xdr:rowOff>
    </xdr:to>
    <xdr:cxnSp macro="">
      <xdr:nvCxnSpPr>
        <xdr:cNvPr id="13361" name="Rechte verbindingslijn met pijl 13360"/>
        <xdr:cNvCxnSpPr/>
      </xdr:nvCxnSpPr>
      <xdr:spPr>
        <a:xfrm flipV="1">
          <a:off x="8412999" y="3356317"/>
          <a:ext cx="229489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31888</xdr:colOff>
      <xdr:row>18</xdr:row>
      <xdr:rowOff>4086</xdr:rowOff>
    </xdr:from>
    <xdr:to>
      <xdr:col>11</xdr:col>
      <xdr:colOff>626638</xdr:colOff>
      <xdr:row>18</xdr:row>
      <xdr:rowOff>47194</xdr:rowOff>
    </xdr:to>
    <xdr:cxnSp macro="">
      <xdr:nvCxnSpPr>
        <xdr:cNvPr id="13362" name="Rechte verbindingslijn met pijl 13361"/>
        <xdr:cNvCxnSpPr/>
      </xdr:nvCxnSpPr>
      <xdr:spPr>
        <a:xfrm flipV="1">
          <a:off x="8642488" y="3452136"/>
          <a:ext cx="594750" cy="431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31888</xdr:colOff>
      <xdr:row>17</xdr:row>
      <xdr:rowOff>55660</xdr:rowOff>
    </xdr:from>
    <xdr:to>
      <xdr:col>11</xdr:col>
      <xdr:colOff>626638</xdr:colOff>
      <xdr:row>17</xdr:row>
      <xdr:rowOff>98767</xdr:rowOff>
    </xdr:to>
    <xdr:cxnSp macro="">
      <xdr:nvCxnSpPr>
        <xdr:cNvPr id="13363" name="Rechte verbindingslijn met pijl 13362"/>
        <xdr:cNvCxnSpPr/>
      </xdr:nvCxnSpPr>
      <xdr:spPr>
        <a:xfrm flipV="1">
          <a:off x="8642488" y="3313210"/>
          <a:ext cx="594750" cy="431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626638</xdr:colOff>
      <xdr:row>17</xdr:row>
      <xdr:rowOff>128791</xdr:rowOff>
    </xdr:from>
    <xdr:to>
      <xdr:col>12</xdr:col>
      <xdr:colOff>625108</xdr:colOff>
      <xdr:row>18</xdr:row>
      <xdr:rowOff>4086</xdr:rowOff>
    </xdr:to>
    <xdr:cxnSp macro="">
      <xdr:nvCxnSpPr>
        <xdr:cNvPr id="13364" name="Rechte verbindingslijn met pijl 13363"/>
        <xdr:cNvCxnSpPr/>
      </xdr:nvCxnSpPr>
      <xdr:spPr>
        <a:xfrm flipV="1">
          <a:off x="9237238" y="3386341"/>
          <a:ext cx="750945" cy="657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626638</xdr:colOff>
      <xdr:row>16</xdr:row>
      <xdr:rowOff>180365</xdr:rowOff>
    </xdr:from>
    <xdr:to>
      <xdr:col>12</xdr:col>
      <xdr:colOff>625108</xdr:colOff>
      <xdr:row>17</xdr:row>
      <xdr:rowOff>55660</xdr:rowOff>
    </xdr:to>
    <xdr:cxnSp macro="">
      <xdr:nvCxnSpPr>
        <xdr:cNvPr id="13365" name="Rechte verbindingslijn met pijl 13364"/>
        <xdr:cNvCxnSpPr/>
      </xdr:nvCxnSpPr>
      <xdr:spPr>
        <a:xfrm flipV="1">
          <a:off x="9237238" y="3247415"/>
          <a:ext cx="750945" cy="657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625108</xdr:colOff>
      <xdr:row>17</xdr:row>
      <xdr:rowOff>121985</xdr:rowOff>
    </xdr:from>
    <xdr:to>
      <xdr:col>12</xdr:col>
      <xdr:colOff>703207</xdr:colOff>
      <xdr:row>17</xdr:row>
      <xdr:rowOff>128791</xdr:rowOff>
    </xdr:to>
    <xdr:cxnSp macro="">
      <xdr:nvCxnSpPr>
        <xdr:cNvPr id="13366" name="Rechte verbindingslijn met pijl 13365"/>
        <xdr:cNvCxnSpPr/>
      </xdr:nvCxnSpPr>
      <xdr:spPr>
        <a:xfrm flipV="1">
          <a:off x="9988183" y="3379535"/>
          <a:ext cx="78099" cy="68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625108</xdr:colOff>
      <xdr:row>16</xdr:row>
      <xdr:rowOff>173558</xdr:rowOff>
    </xdr:from>
    <xdr:to>
      <xdr:col>12</xdr:col>
      <xdr:colOff>703207</xdr:colOff>
      <xdr:row>16</xdr:row>
      <xdr:rowOff>180365</xdr:rowOff>
    </xdr:to>
    <xdr:cxnSp macro="">
      <xdr:nvCxnSpPr>
        <xdr:cNvPr id="13367" name="Rechte verbindingslijn met pijl 13366"/>
        <xdr:cNvCxnSpPr/>
      </xdr:nvCxnSpPr>
      <xdr:spPr>
        <a:xfrm flipV="1">
          <a:off x="9988183" y="3240608"/>
          <a:ext cx="78099" cy="68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703207</xdr:colOff>
      <xdr:row>17</xdr:row>
      <xdr:rowOff>60727</xdr:rowOff>
    </xdr:from>
    <xdr:to>
      <xdr:col>13</xdr:col>
      <xdr:colOff>389320</xdr:colOff>
      <xdr:row>17</xdr:row>
      <xdr:rowOff>121985</xdr:rowOff>
    </xdr:to>
    <xdr:cxnSp macro="">
      <xdr:nvCxnSpPr>
        <xdr:cNvPr id="13368" name="Rechte verbindingslijn met pijl 13367"/>
        <xdr:cNvCxnSpPr/>
      </xdr:nvCxnSpPr>
      <xdr:spPr>
        <a:xfrm flipV="1">
          <a:off x="10066282" y="3318277"/>
          <a:ext cx="705288" cy="612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703207</xdr:colOff>
      <xdr:row>16</xdr:row>
      <xdr:rowOff>112301</xdr:rowOff>
    </xdr:from>
    <xdr:to>
      <xdr:col>13</xdr:col>
      <xdr:colOff>389320</xdr:colOff>
      <xdr:row>16</xdr:row>
      <xdr:rowOff>173558</xdr:rowOff>
    </xdr:to>
    <xdr:cxnSp macro="">
      <xdr:nvCxnSpPr>
        <xdr:cNvPr id="13369" name="Rechte verbindingslijn met pijl 13368"/>
        <xdr:cNvCxnSpPr/>
      </xdr:nvCxnSpPr>
      <xdr:spPr>
        <a:xfrm flipV="1">
          <a:off x="10066282" y="3179351"/>
          <a:ext cx="705288" cy="612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389320</xdr:colOff>
      <xdr:row>17</xdr:row>
      <xdr:rowOff>15351</xdr:rowOff>
    </xdr:from>
    <xdr:to>
      <xdr:col>14</xdr:col>
      <xdr:colOff>72665</xdr:colOff>
      <xdr:row>17</xdr:row>
      <xdr:rowOff>60727</xdr:rowOff>
    </xdr:to>
    <xdr:cxnSp macro="">
      <xdr:nvCxnSpPr>
        <xdr:cNvPr id="13370" name="Rechte verbindingslijn met pijl 13369"/>
        <xdr:cNvCxnSpPr/>
      </xdr:nvCxnSpPr>
      <xdr:spPr>
        <a:xfrm flipV="1">
          <a:off x="10771570" y="3272901"/>
          <a:ext cx="531070" cy="453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389320</xdr:colOff>
      <xdr:row>16</xdr:row>
      <xdr:rowOff>66925</xdr:rowOff>
    </xdr:from>
    <xdr:to>
      <xdr:col>14</xdr:col>
      <xdr:colOff>72665</xdr:colOff>
      <xdr:row>16</xdr:row>
      <xdr:rowOff>112301</xdr:rowOff>
    </xdr:to>
    <xdr:cxnSp macro="">
      <xdr:nvCxnSpPr>
        <xdr:cNvPr id="13371" name="Rechte verbindingslijn met pijl 13370"/>
        <xdr:cNvCxnSpPr/>
      </xdr:nvCxnSpPr>
      <xdr:spPr>
        <a:xfrm flipV="1">
          <a:off x="10771570" y="3133975"/>
          <a:ext cx="531070" cy="453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72665</xdr:colOff>
      <xdr:row>16</xdr:row>
      <xdr:rowOff>176357</xdr:rowOff>
    </xdr:from>
    <xdr:to>
      <xdr:col>14</xdr:col>
      <xdr:colOff>422305</xdr:colOff>
      <xdr:row>17</xdr:row>
      <xdr:rowOff>15351</xdr:rowOff>
    </xdr:to>
    <xdr:cxnSp macro="">
      <xdr:nvCxnSpPr>
        <xdr:cNvPr id="13372" name="Rechte verbindingslijn met pijl 13371"/>
        <xdr:cNvCxnSpPr/>
      </xdr:nvCxnSpPr>
      <xdr:spPr>
        <a:xfrm flipV="1">
          <a:off x="11302640" y="3243407"/>
          <a:ext cx="349640" cy="294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72665</xdr:colOff>
      <xdr:row>16</xdr:row>
      <xdr:rowOff>37430</xdr:rowOff>
    </xdr:from>
    <xdr:to>
      <xdr:col>14</xdr:col>
      <xdr:colOff>422305</xdr:colOff>
      <xdr:row>16</xdr:row>
      <xdr:rowOff>66925</xdr:rowOff>
    </xdr:to>
    <xdr:cxnSp macro="">
      <xdr:nvCxnSpPr>
        <xdr:cNvPr id="13373" name="Rechte verbindingslijn met pijl 13372"/>
        <xdr:cNvCxnSpPr/>
      </xdr:nvCxnSpPr>
      <xdr:spPr>
        <a:xfrm flipV="1">
          <a:off x="11302640" y="3104480"/>
          <a:ext cx="349640" cy="294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422305</xdr:colOff>
      <xdr:row>16</xdr:row>
      <xdr:rowOff>153669</xdr:rowOff>
    </xdr:from>
    <xdr:to>
      <xdr:col>14</xdr:col>
      <xdr:colOff>690243</xdr:colOff>
      <xdr:row>16</xdr:row>
      <xdr:rowOff>176357</xdr:rowOff>
    </xdr:to>
    <xdr:cxnSp macro="">
      <xdr:nvCxnSpPr>
        <xdr:cNvPr id="13374" name="Rechte verbindingslijn met pijl 13373"/>
        <xdr:cNvCxnSpPr/>
      </xdr:nvCxnSpPr>
      <xdr:spPr>
        <a:xfrm flipV="1">
          <a:off x="11652280" y="3220719"/>
          <a:ext cx="267938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422305</xdr:colOff>
      <xdr:row>16</xdr:row>
      <xdr:rowOff>14742</xdr:rowOff>
    </xdr:from>
    <xdr:to>
      <xdr:col>14</xdr:col>
      <xdr:colOff>690243</xdr:colOff>
      <xdr:row>16</xdr:row>
      <xdr:rowOff>37430</xdr:rowOff>
    </xdr:to>
    <xdr:cxnSp macro="">
      <xdr:nvCxnSpPr>
        <xdr:cNvPr id="13375" name="Rechte verbindingslijn met pijl 13374"/>
        <xdr:cNvCxnSpPr/>
      </xdr:nvCxnSpPr>
      <xdr:spPr>
        <a:xfrm flipV="1">
          <a:off x="11652280" y="3081792"/>
          <a:ext cx="267938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690243</xdr:colOff>
      <xdr:row>16</xdr:row>
      <xdr:rowOff>137787</xdr:rowOff>
    </xdr:from>
    <xdr:to>
      <xdr:col>14</xdr:col>
      <xdr:colOff>877679</xdr:colOff>
      <xdr:row>16</xdr:row>
      <xdr:rowOff>153669</xdr:rowOff>
    </xdr:to>
    <xdr:cxnSp macro="">
      <xdr:nvCxnSpPr>
        <xdr:cNvPr id="13376" name="Rechte verbindingslijn met pijl 13375"/>
        <xdr:cNvCxnSpPr/>
      </xdr:nvCxnSpPr>
      <xdr:spPr>
        <a:xfrm flipV="1">
          <a:off x="11920218" y="3204837"/>
          <a:ext cx="187436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690243</xdr:colOff>
      <xdr:row>15</xdr:row>
      <xdr:rowOff>189361</xdr:rowOff>
    </xdr:from>
    <xdr:to>
      <xdr:col>14</xdr:col>
      <xdr:colOff>877679</xdr:colOff>
      <xdr:row>16</xdr:row>
      <xdr:rowOff>14742</xdr:rowOff>
    </xdr:to>
    <xdr:cxnSp macro="">
      <xdr:nvCxnSpPr>
        <xdr:cNvPr id="13377" name="Rechte verbindingslijn met pijl 13376"/>
        <xdr:cNvCxnSpPr/>
      </xdr:nvCxnSpPr>
      <xdr:spPr>
        <a:xfrm flipV="1">
          <a:off x="11920218" y="3065911"/>
          <a:ext cx="187436" cy="158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877679</xdr:colOff>
      <xdr:row>16</xdr:row>
      <xdr:rowOff>69723</xdr:rowOff>
    </xdr:from>
    <xdr:to>
      <xdr:col>15</xdr:col>
      <xdr:colOff>646523</xdr:colOff>
      <xdr:row>16</xdr:row>
      <xdr:rowOff>137787</xdr:rowOff>
    </xdr:to>
    <xdr:cxnSp macro="">
      <xdr:nvCxnSpPr>
        <xdr:cNvPr id="13378" name="Rechte verbindingslijn met pijl 13377"/>
        <xdr:cNvCxnSpPr/>
      </xdr:nvCxnSpPr>
      <xdr:spPr>
        <a:xfrm flipV="1">
          <a:off x="12107654" y="3136773"/>
          <a:ext cx="768969" cy="680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877679</xdr:colOff>
      <xdr:row>15</xdr:row>
      <xdr:rowOff>121297</xdr:rowOff>
    </xdr:from>
    <xdr:to>
      <xdr:col>15</xdr:col>
      <xdr:colOff>646523</xdr:colOff>
      <xdr:row>15</xdr:row>
      <xdr:rowOff>189361</xdr:rowOff>
    </xdr:to>
    <xdr:cxnSp macro="">
      <xdr:nvCxnSpPr>
        <xdr:cNvPr id="13379" name="Rechte verbindingslijn met pijl 13378"/>
        <xdr:cNvCxnSpPr/>
      </xdr:nvCxnSpPr>
      <xdr:spPr>
        <a:xfrm flipV="1">
          <a:off x="12107654" y="2997847"/>
          <a:ext cx="768969" cy="680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646523</xdr:colOff>
      <xdr:row>16</xdr:row>
      <xdr:rowOff>42497</xdr:rowOff>
    </xdr:from>
    <xdr:to>
      <xdr:col>16</xdr:col>
      <xdr:colOff>99175</xdr:colOff>
      <xdr:row>16</xdr:row>
      <xdr:rowOff>69723</xdr:rowOff>
    </xdr:to>
    <xdr:cxnSp macro="">
      <xdr:nvCxnSpPr>
        <xdr:cNvPr id="13380" name="Rechte verbindingslijn met pijl 13379"/>
        <xdr:cNvCxnSpPr/>
      </xdr:nvCxnSpPr>
      <xdr:spPr>
        <a:xfrm flipV="1">
          <a:off x="12876623" y="3109547"/>
          <a:ext cx="300377" cy="27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646523</xdr:colOff>
      <xdr:row>15</xdr:row>
      <xdr:rowOff>94071</xdr:rowOff>
    </xdr:from>
    <xdr:to>
      <xdr:col>16</xdr:col>
      <xdr:colOff>99175</xdr:colOff>
      <xdr:row>15</xdr:row>
      <xdr:rowOff>121297</xdr:rowOff>
    </xdr:to>
    <xdr:cxnSp macro="">
      <xdr:nvCxnSpPr>
        <xdr:cNvPr id="13381" name="Rechte verbindingslijn met pijl 13380"/>
        <xdr:cNvCxnSpPr/>
      </xdr:nvCxnSpPr>
      <xdr:spPr>
        <a:xfrm flipV="1">
          <a:off x="12876623" y="2970621"/>
          <a:ext cx="300377" cy="27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99175</xdr:colOff>
      <xdr:row>16</xdr:row>
      <xdr:rowOff>24347</xdr:rowOff>
    </xdr:from>
    <xdr:to>
      <xdr:col>16</xdr:col>
      <xdr:colOff>303433</xdr:colOff>
      <xdr:row>16</xdr:row>
      <xdr:rowOff>42497</xdr:rowOff>
    </xdr:to>
    <xdr:cxnSp macro="">
      <xdr:nvCxnSpPr>
        <xdr:cNvPr id="13382" name="Rechte verbindingslijn met pijl 13381"/>
        <xdr:cNvCxnSpPr/>
      </xdr:nvCxnSpPr>
      <xdr:spPr>
        <a:xfrm flipV="1">
          <a:off x="13177000" y="3091397"/>
          <a:ext cx="204258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99175</xdr:colOff>
      <xdr:row>15</xdr:row>
      <xdr:rowOff>75921</xdr:rowOff>
    </xdr:from>
    <xdr:to>
      <xdr:col>16</xdr:col>
      <xdr:colOff>303433</xdr:colOff>
      <xdr:row>15</xdr:row>
      <xdr:rowOff>94071</xdr:rowOff>
    </xdr:to>
    <xdr:cxnSp macro="">
      <xdr:nvCxnSpPr>
        <xdr:cNvPr id="13383" name="Rechte verbindingslijn met pijl 13382"/>
        <xdr:cNvCxnSpPr/>
      </xdr:nvCxnSpPr>
      <xdr:spPr>
        <a:xfrm flipV="1">
          <a:off x="13177000" y="2952471"/>
          <a:ext cx="204258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303433</xdr:colOff>
      <xdr:row>16</xdr:row>
      <xdr:rowOff>8465</xdr:rowOff>
    </xdr:from>
    <xdr:to>
      <xdr:col>16</xdr:col>
      <xdr:colOff>411570</xdr:colOff>
      <xdr:row>16</xdr:row>
      <xdr:rowOff>24347</xdr:rowOff>
    </xdr:to>
    <xdr:cxnSp macro="">
      <xdr:nvCxnSpPr>
        <xdr:cNvPr id="13384" name="Rechte verbindingslijn met pijl 13383"/>
        <xdr:cNvCxnSpPr/>
      </xdr:nvCxnSpPr>
      <xdr:spPr>
        <a:xfrm flipV="1">
          <a:off x="13381258" y="3075515"/>
          <a:ext cx="108137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303433</xdr:colOff>
      <xdr:row>15</xdr:row>
      <xdr:rowOff>60039</xdr:rowOff>
    </xdr:from>
    <xdr:to>
      <xdr:col>16</xdr:col>
      <xdr:colOff>411570</xdr:colOff>
      <xdr:row>15</xdr:row>
      <xdr:rowOff>75921</xdr:rowOff>
    </xdr:to>
    <xdr:cxnSp macro="">
      <xdr:nvCxnSpPr>
        <xdr:cNvPr id="13385" name="Rechte verbindingslijn met pijl 13384"/>
        <xdr:cNvCxnSpPr/>
      </xdr:nvCxnSpPr>
      <xdr:spPr>
        <a:xfrm flipV="1">
          <a:off x="13381258" y="2936589"/>
          <a:ext cx="108137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411570</xdr:colOff>
      <xdr:row>15</xdr:row>
      <xdr:rowOff>126364</xdr:rowOff>
    </xdr:from>
    <xdr:to>
      <xdr:col>16</xdr:col>
      <xdr:colOff>735978</xdr:colOff>
      <xdr:row>16</xdr:row>
      <xdr:rowOff>8465</xdr:rowOff>
    </xdr:to>
    <xdr:cxnSp macro="">
      <xdr:nvCxnSpPr>
        <xdr:cNvPr id="13386" name="Rechte verbindingslijn met pijl 13385"/>
        <xdr:cNvCxnSpPr/>
      </xdr:nvCxnSpPr>
      <xdr:spPr>
        <a:xfrm flipV="1">
          <a:off x="13489395" y="3002914"/>
          <a:ext cx="324408" cy="726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411570</xdr:colOff>
      <xdr:row>14</xdr:row>
      <xdr:rowOff>177938</xdr:rowOff>
    </xdr:from>
    <xdr:to>
      <xdr:col>16</xdr:col>
      <xdr:colOff>735978</xdr:colOff>
      <xdr:row>15</xdr:row>
      <xdr:rowOff>60039</xdr:rowOff>
    </xdr:to>
    <xdr:cxnSp macro="">
      <xdr:nvCxnSpPr>
        <xdr:cNvPr id="13387" name="Rechte verbindingslijn met pijl 13386"/>
        <xdr:cNvCxnSpPr/>
      </xdr:nvCxnSpPr>
      <xdr:spPr>
        <a:xfrm flipV="1">
          <a:off x="13489395" y="2863988"/>
          <a:ext cx="324408" cy="726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735978</xdr:colOff>
      <xdr:row>15</xdr:row>
      <xdr:rowOff>110482</xdr:rowOff>
    </xdr:from>
    <xdr:to>
      <xdr:col>16</xdr:col>
      <xdr:colOff>808070</xdr:colOff>
      <xdr:row>15</xdr:row>
      <xdr:rowOff>126364</xdr:rowOff>
    </xdr:to>
    <xdr:cxnSp macro="">
      <xdr:nvCxnSpPr>
        <xdr:cNvPr id="13388" name="Rechte verbindingslijn met pijl 13387"/>
        <xdr:cNvCxnSpPr/>
      </xdr:nvCxnSpPr>
      <xdr:spPr>
        <a:xfrm flipV="1">
          <a:off x="13813803" y="2987032"/>
          <a:ext cx="72092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735978</xdr:colOff>
      <xdr:row>14</xdr:row>
      <xdr:rowOff>162056</xdr:rowOff>
    </xdr:from>
    <xdr:to>
      <xdr:col>16</xdr:col>
      <xdr:colOff>808070</xdr:colOff>
      <xdr:row>14</xdr:row>
      <xdr:rowOff>177938</xdr:rowOff>
    </xdr:to>
    <xdr:cxnSp macro="">
      <xdr:nvCxnSpPr>
        <xdr:cNvPr id="13389" name="Rechte verbindingslijn met pijl 13388"/>
        <xdr:cNvCxnSpPr/>
      </xdr:nvCxnSpPr>
      <xdr:spPr>
        <a:xfrm flipV="1">
          <a:off x="13813803" y="2848106"/>
          <a:ext cx="72092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808070</xdr:colOff>
      <xdr:row>15</xdr:row>
      <xdr:rowOff>92332</xdr:rowOff>
    </xdr:from>
    <xdr:to>
      <xdr:col>17</xdr:col>
      <xdr:colOff>44450</xdr:colOff>
      <xdr:row>15</xdr:row>
      <xdr:rowOff>110482</xdr:rowOff>
    </xdr:to>
    <xdr:cxnSp macro="">
      <xdr:nvCxnSpPr>
        <xdr:cNvPr id="13390" name="Rechte verbindingslijn met pijl 13389"/>
        <xdr:cNvCxnSpPr/>
      </xdr:nvCxnSpPr>
      <xdr:spPr>
        <a:xfrm flipV="1">
          <a:off x="13885895" y="2968882"/>
          <a:ext cx="84105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808070</xdr:colOff>
      <xdr:row>14</xdr:row>
      <xdr:rowOff>143906</xdr:rowOff>
    </xdr:from>
    <xdr:to>
      <xdr:col>17</xdr:col>
      <xdr:colOff>44450</xdr:colOff>
      <xdr:row>14</xdr:row>
      <xdr:rowOff>162056</xdr:rowOff>
    </xdr:to>
    <xdr:cxnSp macro="">
      <xdr:nvCxnSpPr>
        <xdr:cNvPr id="13391" name="Rechte verbindingslijn met pijl 13390"/>
        <xdr:cNvCxnSpPr/>
      </xdr:nvCxnSpPr>
      <xdr:spPr>
        <a:xfrm flipV="1">
          <a:off x="13885895" y="2829956"/>
          <a:ext cx="84105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17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17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13</xdr:col>
      <xdr:colOff>0</xdr:colOff>
      <xdr:row>16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16</xdr:col>
      <xdr:colOff>0</xdr:colOff>
      <xdr:row>17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21</xdr:col>
      <xdr:colOff>0</xdr:colOff>
      <xdr:row>17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7</xdr:row>
      <xdr:rowOff>0</xdr:rowOff>
    </xdr:from>
    <xdr:to>
      <xdr:col>26</xdr:col>
      <xdr:colOff>0</xdr:colOff>
      <xdr:row>17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16</xdr:col>
      <xdr:colOff>0</xdr:colOff>
      <xdr:row>37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21</xdr:col>
      <xdr:colOff>0</xdr:colOff>
      <xdr:row>37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0</xdr:colOff>
      <xdr:row>27</xdr:row>
      <xdr:rowOff>0</xdr:rowOff>
    </xdr:from>
    <xdr:to>
      <xdr:col>26</xdr:col>
      <xdr:colOff>0</xdr:colOff>
      <xdr:row>37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8</xdr:row>
      <xdr:rowOff>41833</xdr:rowOff>
    </xdr:from>
    <xdr:to>
      <xdr:col>7</xdr:col>
      <xdr:colOff>565150</xdr:colOff>
      <xdr:row>33</xdr:row>
      <xdr:rowOff>44500</xdr:rowOff>
    </xdr:to>
    <xdr:sp macro="" textlink="">
      <xdr:nvSpPr>
        <xdr:cNvPr id="17748" name="Rechthoek 17747"/>
        <xdr:cNvSpPr/>
      </xdr:nvSpPr>
      <xdr:spPr>
        <a:xfrm>
          <a:off x="5080000" y="1584883"/>
          <a:ext cx="38100" cy="47651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479397</xdr:colOff>
      <xdr:row>6</xdr:row>
      <xdr:rowOff>77516</xdr:rowOff>
    </xdr:from>
    <xdr:to>
      <xdr:col>8</xdr:col>
      <xdr:colOff>87357</xdr:colOff>
      <xdr:row>8</xdr:row>
      <xdr:rowOff>19611</xdr:rowOff>
    </xdr:to>
    <xdr:sp macro="" textlink="">
      <xdr:nvSpPr>
        <xdr:cNvPr id="17749" name="Tekstvak 17748"/>
        <xdr:cNvSpPr txBox="1"/>
      </xdr:nvSpPr>
      <xdr:spPr>
        <a:xfrm rot="-3000000">
          <a:off x="4970054" y="1282809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1094792</xdr:colOff>
      <xdr:row>7</xdr:row>
      <xdr:rowOff>174473</xdr:rowOff>
    </xdr:from>
    <xdr:to>
      <xdr:col>8</xdr:col>
      <xdr:colOff>1132892</xdr:colOff>
      <xdr:row>32</xdr:row>
      <xdr:rowOff>167615</xdr:rowOff>
    </xdr:to>
    <xdr:sp macro="" textlink="">
      <xdr:nvSpPr>
        <xdr:cNvPr id="17750" name="Rechthoek 17749"/>
        <xdr:cNvSpPr/>
      </xdr:nvSpPr>
      <xdr:spPr>
        <a:xfrm>
          <a:off x="6257342" y="1517498"/>
          <a:ext cx="38100" cy="47651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1053819</xdr:colOff>
      <xdr:row>5</xdr:row>
      <xdr:rowOff>186306</xdr:rowOff>
    </xdr:from>
    <xdr:to>
      <xdr:col>9</xdr:col>
      <xdr:colOff>90279</xdr:colOff>
      <xdr:row>7</xdr:row>
      <xdr:rowOff>155367</xdr:rowOff>
    </xdr:to>
    <xdr:sp macro="" textlink="">
      <xdr:nvSpPr>
        <xdr:cNvPr id="17751" name="Tekstvak 17750"/>
        <xdr:cNvSpPr txBox="1"/>
      </xdr:nvSpPr>
      <xdr:spPr>
        <a:xfrm rot="-3000000">
          <a:off x="6145356" y="120981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10</xdr:col>
      <xdr:colOff>100403</xdr:colOff>
      <xdr:row>7</xdr:row>
      <xdr:rowOff>128788</xdr:rowOff>
    </xdr:from>
    <xdr:to>
      <xdr:col>10</xdr:col>
      <xdr:colOff>138503</xdr:colOff>
      <xdr:row>32</xdr:row>
      <xdr:rowOff>121803</xdr:rowOff>
    </xdr:to>
    <xdr:sp macro="" textlink="">
      <xdr:nvSpPr>
        <xdr:cNvPr id="17752" name="Rechthoek 17751"/>
        <xdr:cNvSpPr/>
      </xdr:nvSpPr>
      <xdr:spPr>
        <a:xfrm>
          <a:off x="7053653" y="1471813"/>
          <a:ext cx="38100" cy="47650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59430</xdr:colOff>
      <xdr:row>5</xdr:row>
      <xdr:rowOff>140581</xdr:rowOff>
    </xdr:from>
    <xdr:to>
      <xdr:col>10</xdr:col>
      <xdr:colOff>276990</xdr:colOff>
      <xdr:row>7</xdr:row>
      <xdr:rowOff>109642</xdr:rowOff>
    </xdr:to>
    <xdr:sp macro="" textlink="">
      <xdr:nvSpPr>
        <xdr:cNvPr id="17753" name="Tekstvak 17752"/>
        <xdr:cNvSpPr txBox="1"/>
      </xdr:nvSpPr>
      <xdr:spPr>
        <a:xfrm rot="-3000000">
          <a:off x="6941667" y="116409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10</xdr:col>
      <xdr:colOff>787543</xdr:colOff>
      <xdr:row>7</xdr:row>
      <xdr:rowOff>90283</xdr:rowOff>
    </xdr:from>
    <xdr:to>
      <xdr:col>10</xdr:col>
      <xdr:colOff>825643</xdr:colOff>
      <xdr:row>32</xdr:row>
      <xdr:rowOff>83298</xdr:rowOff>
    </xdr:to>
    <xdr:sp macro="" textlink="">
      <xdr:nvSpPr>
        <xdr:cNvPr id="17754" name="Rechthoek 17753"/>
        <xdr:cNvSpPr/>
      </xdr:nvSpPr>
      <xdr:spPr>
        <a:xfrm>
          <a:off x="7740793" y="1433308"/>
          <a:ext cx="38100" cy="47650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746570</xdr:colOff>
      <xdr:row>5</xdr:row>
      <xdr:rowOff>102076</xdr:rowOff>
    </xdr:from>
    <xdr:to>
      <xdr:col>10</xdr:col>
      <xdr:colOff>964130</xdr:colOff>
      <xdr:row>7</xdr:row>
      <xdr:rowOff>71137</xdr:rowOff>
    </xdr:to>
    <xdr:sp macro="" textlink="">
      <xdr:nvSpPr>
        <xdr:cNvPr id="17755" name="Tekstvak 17754"/>
        <xdr:cNvSpPr txBox="1"/>
      </xdr:nvSpPr>
      <xdr:spPr>
        <a:xfrm rot="-3000000">
          <a:off x="7628807" y="112558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11</xdr:col>
      <xdr:colOff>59707</xdr:colOff>
      <xdr:row>32</xdr:row>
      <xdr:rowOff>59229</xdr:rowOff>
    </xdr:from>
    <xdr:to>
      <xdr:col>11</xdr:col>
      <xdr:colOff>97807</xdr:colOff>
      <xdr:row>32</xdr:row>
      <xdr:rowOff>66468</xdr:rowOff>
    </xdr:to>
    <xdr:sp macro="" textlink="">
      <xdr:nvSpPr>
        <xdr:cNvPr id="17756" name="Rechthoek 17755"/>
        <xdr:cNvSpPr/>
      </xdr:nvSpPr>
      <xdr:spPr>
        <a:xfrm>
          <a:off x="8051182" y="6174279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32</xdr:row>
      <xdr:rowOff>59229</xdr:rowOff>
    </xdr:from>
    <xdr:to>
      <xdr:col>11</xdr:col>
      <xdr:colOff>97807</xdr:colOff>
      <xdr:row>32</xdr:row>
      <xdr:rowOff>66468</xdr:rowOff>
    </xdr:to>
    <xdr:sp macro="" textlink="">
      <xdr:nvSpPr>
        <xdr:cNvPr id="17757" name="Rechthoek 17756"/>
        <xdr:cNvSpPr/>
      </xdr:nvSpPr>
      <xdr:spPr>
        <a:xfrm>
          <a:off x="8051182" y="6174279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7</xdr:row>
      <xdr:rowOff>78250</xdr:rowOff>
    </xdr:from>
    <xdr:to>
      <xdr:col>11</xdr:col>
      <xdr:colOff>97807</xdr:colOff>
      <xdr:row>32</xdr:row>
      <xdr:rowOff>59200</xdr:rowOff>
    </xdr:to>
    <xdr:sp macro="" textlink="">
      <xdr:nvSpPr>
        <xdr:cNvPr id="17758" name="Rechthoek 17757"/>
        <xdr:cNvSpPr/>
      </xdr:nvSpPr>
      <xdr:spPr>
        <a:xfrm>
          <a:off x="8051182" y="1421275"/>
          <a:ext cx="38100" cy="47529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7</xdr:row>
      <xdr:rowOff>73397</xdr:rowOff>
    </xdr:from>
    <xdr:to>
      <xdr:col>11</xdr:col>
      <xdr:colOff>97807</xdr:colOff>
      <xdr:row>7</xdr:row>
      <xdr:rowOff>78223</xdr:rowOff>
    </xdr:to>
    <xdr:sp macro="" textlink="">
      <xdr:nvSpPr>
        <xdr:cNvPr id="17759" name="Rechthoek 17758"/>
        <xdr:cNvSpPr/>
      </xdr:nvSpPr>
      <xdr:spPr>
        <a:xfrm>
          <a:off x="8051182" y="1416422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1027931</xdr:colOff>
      <xdr:row>5</xdr:row>
      <xdr:rowOff>147483</xdr:rowOff>
    </xdr:from>
    <xdr:to>
      <xdr:col>11</xdr:col>
      <xdr:colOff>207266</xdr:colOff>
      <xdr:row>7</xdr:row>
      <xdr:rowOff>40754</xdr:rowOff>
    </xdr:to>
    <xdr:sp macro="" textlink="">
      <xdr:nvSpPr>
        <xdr:cNvPr id="17556" name="Tekstvak 17555"/>
        <xdr:cNvSpPr txBox="1"/>
      </xdr:nvSpPr>
      <xdr:spPr>
        <a:xfrm rot="-3000000">
          <a:off x="7948063" y="113310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12</xdr:col>
      <xdr:colOff>127622</xdr:colOff>
      <xdr:row>32</xdr:row>
      <xdr:rowOff>13504</xdr:rowOff>
    </xdr:from>
    <xdr:to>
      <xdr:col>12</xdr:col>
      <xdr:colOff>165722</xdr:colOff>
      <xdr:row>32</xdr:row>
      <xdr:rowOff>23156</xdr:rowOff>
    </xdr:to>
    <xdr:sp macro="" textlink="">
      <xdr:nvSpPr>
        <xdr:cNvPr id="17557" name="Rechthoek 17556"/>
        <xdr:cNvSpPr/>
      </xdr:nvSpPr>
      <xdr:spPr>
        <a:xfrm>
          <a:off x="8823947" y="6128554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32</xdr:row>
      <xdr:rowOff>13504</xdr:rowOff>
    </xdr:from>
    <xdr:to>
      <xdr:col>12</xdr:col>
      <xdr:colOff>165722</xdr:colOff>
      <xdr:row>32</xdr:row>
      <xdr:rowOff>23156</xdr:rowOff>
    </xdr:to>
    <xdr:sp macro="" textlink="">
      <xdr:nvSpPr>
        <xdr:cNvPr id="17558" name="Rechthoek 17557"/>
        <xdr:cNvSpPr/>
      </xdr:nvSpPr>
      <xdr:spPr>
        <a:xfrm>
          <a:off x="8823947" y="6128554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17</xdr:row>
      <xdr:rowOff>175630</xdr:rowOff>
    </xdr:from>
    <xdr:to>
      <xdr:col>12</xdr:col>
      <xdr:colOff>165722</xdr:colOff>
      <xdr:row>32</xdr:row>
      <xdr:rowOff>13450</xdr:rowOff>
    </xdr:to>
    <xdr:sp macro="" textlink="">
      <xdr:nvSpPr>
        <xdr:cNvPr id="17559" name="Rechthoek 17558"/>
        <xdr:cNvSpPr/>
      </xdr:nvSpPr>
      <xdr:spPr>
        <a:xfrm>
          <a:off x="8823947" y="3433180"/>
          <a:ext cx="38100" cy="26953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16</xdr:row>
      <xdr:rowOff>95389</xdr:rowOff>
    </xdr:from>
    <xdr:to>
      <xdr:col>12</xdr:col>
      <xdr:colOff>165722</xdr:colOff>
      <xdr:row>17</xdr:row>
      <xdr:rowOff>175653</xdr:rowOff>
    </xdr:to>
    <xdr:sp macro="" textlink="">
      <xdr:nvSpPr>
        <xdr:cNvPr id="17560" name="Rechthoek 17559"/>
        <xdr:cNvSpPr/>
      </xdr:nvSpPr>
      <xdr:spPr>
        <a:xfrm>
          <a:off x="8823947" y="3162439"/>
          <a:ext cx="38100" cy="2707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7</xdr:row>
      <xdr:rowOff>32525</xdr:rowOff>
    </xdr:from>
    <xdr:to>
      <xdr:col>12</xdr:col>
      <xdr:colOff>165722</xdr:colOff>
      <xdr:row>16</xdr:row>
      <xdr:rowOff>95390</xdr:rowOff>
    </xdr:to>
    <xdr:sp macro="" textlink="">
      <xdr:nvSpPr>
        <xdr:cNvPr id="17561" name="Rechthoek 17560"/>
        <xdr:cNvSpPr/>
      </xdr:nvSpPr>
      <xdr:spPr>
        <a:xfrm>
          <a:off x="8823947" y="1375550"/>
          <a:ext cx="38100" cy="17868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7</xdr:row>
      <xdr:rowOff>30078</xdr:rowOff>
    </xdr:from>
    <xdr:to>
      <xdr:col>12</xdr:col>
      <xdr:colOff>165722</xdr:colOff>
      <xdr:row>7</xdr:row>
      <xdr:rowOff>32491</xdr:rowOff>
    </xdr:to>
    <xdr:sp macro="" textlink="">
      <xdr:nvSpPr>
        <xdr:cNvPr id="17562" name="Rechthoek 17561"/>
        <xdr:cNvSpPr/>
      </xdr:nvSpPr>
      <xdr:spPr>
        <a:xfrm>
          <a:off x="8823947" y="1373103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56097</xdr:colOff>
      <xdr:row>5</xdr:row>
      <xdr:rowOff>107430</xdr:rowOff>
    </xdr:from>
    <xdr:to>
      <xdr:col>12</xdr:col>
      <xdr:colOff>273657</xdr:colOff>
      <xdr:row>6</xdr:row>
      <xdr:rowOff>196750</xdr:rowOff>
    </xdr:to>
    <xdr:sp macro="" textlink="">
      <xdr:nvSpPr>
        <xdr:cNvPr id="17563" name="Tekstvak 17562"/>
        <xdr:cNvSpPr txBox="1"/>
      </xdr:nvSpPr>
      <xdr:spPr>
        <a:xfrm rot="-3000000">
          <a:off x="8721292" y="1091060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12</xdr:col>
      <xdr:colOff>294591</xdr:colOff>
      <xdr:row>32</xdr:row>
      <xdr:rowOff>6285</xdr:rowOff>
    </xdr:from>
    <xdr:to>
      <xdr:col>12</xdr:col>
      <xdr:colOff>332691</xdr:colOff>
      <xdr:row>32</xdr:row>
      <xdr:rowOff>13524</xdr:rowOff>
    </xdr:to>
    <xdr:sp macro="" textlink="">
      <xdr:nvSpPr>
        <xdr:cNvPr id="17564" name="Rechthoek 17563"/>
        <xdr:cNvSpPr/>
      </xdr:nvSpPr>
      <xdr:spPr>
        <a:xfrm>
          <a:off x="8990916" y="6121335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32</xdr:row>
      <xdr:rowOff>6285</xdr:rowOff>
    </xdr:from>
    <xdr:to>
      <xdr:col>12</xdr:col>
      <xdr:colOff>332691</xdr:colOff>
      <xdr:row>32</xdr:row>
      <xdr:rowOff>13524</xdr:rowOff>
    </xdr:to>
    <xdr:sp macro="" textlink="">
      <xdr:nvSpPr>
        <xdr:cNvPr id="17565" name="Rechthoek 17564"/>
        <xdr:cNvSpPr/>
      </xdr:nvSpPr>
      <xdr:spPr>
        <a:xfrm>
          <a:off x="8990916" y="6121335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17</xdr:row>
      <xdr:rowOff>170816</xdr:rowOff>
    </xdr:from>
    <xdr:to>
      <xdr:col>12</xdr:col>
      <xdr:colOff>332691</xdr:colOff>
      <xdr:row>32</xdr:row>
      <xdr:rowOff>6224</xdr:rowOff>
    </xdr:to>
    <xdr:sp macro="" textlink="">
      <xdr:nvSpPr>
        <xdr:cNvPr id="17566" name="Rechthoek 17565"/>
        <xdr:cNvSpPr/>
      </xdr:nvSpPr>
      <xdr:spPr>
        <a:xfrm>
          <a:off x="8990916" y="3428366"/>
          <a:ext cx="38100" cy="26929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16</xdr:row>
      <xdr:rowOff>85161</xdr:rowOff>
    </xdr:from>
    <xdr:to>
      <xdr:col>12</xdr:col>
      <xdr:colOff>332691</xdr:colOff>
      <xdr:row>17</xdr:row>
      <xdr:rowOff>170759</xdr:rowOff>
    </xdr:to>
    <xdr:sp macro="" textlink="">
      <xdr:nvSpPr>
        <xdr:cNvPr id="17567" name="Rechthoek 17566"/>
        <xdr:cNvSpPr/>
      </xdr:nvSpPr>
      <xdr:spPr>
        <a:xfrm>
          <a:off x="8990916" y="3152211"/>
          <a:ext cx="38100" cy="2760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7</xdr:row>
      <xdr:rowOff>25305</xdr:rowOff>
    </xdr:from>
    <xdr:to>
      <xdr:col>12</xdr:col>
      <xdr:colOff>332691</xdr:colOff>
      <xdr:row>16</xdr:row>
      <xdr:rowOff>85122</xdr:rowOff>
    </xdr:to>
    <xdr:sp macro="" textlink="">
      <xdr:nvSpPr>
        <xdr:cNvPr id="17664" name="Rechthoek 17663"/>
        <xdr:cNvSpPr/>
      </xdr:nvSpPr>
      <xdr:spPr>
        <a:xfrm>
          <a:off x="8990916" y="1368330"/>
          <a:ext cx="38100" cy="17838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7</xdr:row>
      <xdr:rowOff>20452</xdr:rowOff>
    </xdr:from>
    <xdr:to>
      <xdr:col>12</xdr:col>
      <xdr:colOff>332691</xdr:colOff>
      <xdr:row>7</xdr:row>
      <xdr:rowOff>25278</xdr:rowOff>
    </xdr:to>
    <xdr:sp macro="" textlink="">
      <xdr:nvSpPr>
        <xdr:cNvPr id="17665" name="Rechthoek 17664"/>
        <xdr:cNvSpPr/>
      </xdr:nvSpPr>
      <xdr:spPr>
        <a:xfrm>
          <a:off x="8990916" y="1363477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224588</xdr:colOff>
      <xdr:row>5</xdr:row>
      <xdr:rowOff>94538</xdr:rowOff>
    </xdr:from>
    <xdr:to>
      <xdr:col>12</xdr:col>
      <xdr:colOff>442148</xdr:colOff>
      <xdr:row>6</xdr:row>
      <xdr:rowOff>187834</xdr:rowOff>
    </xdr:to>
    <xdr:sp macro="" textlink="">
      <xdr:nvSpPr>
        <xdr:cNvPr id="17666" name="Tekstvak 17665"/>
        <xdr:cNvSpPr txBox="1"/>
      </xdr:nvSpPr>
      <xdr:spPr>
        <a:xfrm rot="-3000000">
          <a:off x="8887795" y="1080156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168585</xdr:colOff>
      <xdr:row>31</xdr:row>
      <xdr:rowOff>146246</xdr:rowOff>
    </xdr:from>
    <xdr:to>
      <xdr:col>13</xdr:col>
      <xdr:colOff>206685</xdr:colOff>
      <xdr:row>31</xdr:row>
      <xdr:rowOff>155898</xdr:rowOff>
    </xdr:to>
    <xdr:sp macro="" textlink="">
      <xdr:nvSpPr>
        <xdr:cNvPr id="17667" name="Rechthoek 17666"/>
        <xdr:cNvSpPr/>
      </xdr:nvSpPr>
      <xdr:spPr>
        <a:xfrm>
          <a:off x="9836460" y="6070796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31</xdr:row>
      <xdr:rowOff>146246</xdr:rowOff>
    </xdr:from>
    <xdr:to>
      <xdr:col>13</xdr:col>
      <xdr:colOff>206685</xdr:colOff>
      <xdr:row>31</xdr:row>
      <xdr:rowOff>155898</xdr:rowOff>
    </xdr:to>
    <xdr:sp macro="" textlink="">
      <xdr:nvSpPr>
        <xdr:cNvPr id="17668" name="Rechthoek 17667"/>
        <xdr:cNvSpPr/>
      </xdr:nvSpPr>
      <xdr:spPr>
        <a:xfrm>
          <a:off x="9836460" y="6070796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26</xdr:row>
      <xdr:rowOff>160178</xdr:rowOff>
    </xdr:from>
    <xdr:to>
      <xdr:col>13</xdr:col>
      <xdr:colOff>206685</xdr:colOff>
      <xdr:row>31</xdr:row>
      <xdr:rowOff>146208</xdr:rowOff>
    </xdr:to>
    <xdr:sp macro="" textlink="">
      <xdr:nvSpPr>
        <xdr:cNvPr id="17669" name="Rechthoek 17668"/>
        <xdr:cNvSpPr/>
      </xdr:nvSpPr>
      <xdr:spPr>
        <a:xfrm>
          <a:off x="9836460" y="5132228"/>
          <a:ext cx="38100" cy="9385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26</xdr:row>
      <xdr:rowOff>23805</xdr:rowOff>
    </xdr:from>
    <xdr:to>
      <xdr:col>13</xdr:col>
      <xdr:colOff>206685</xdr:colOff>
      <xdr:row>26</xdr:row>
      <xdr:rowOff>160203</xdr:rowOff>
    </xdr:to>
    <xdr:sp macro="" textlink="">
      <xdr:nvSpPr>
        <xdr:cNvPr id="17670" name="Rechthoek 17669"/>
        <xdr:cNvSpPr/>
      </xdr:nvSpPr>
      <xdr:spPr>
        <a:xfrm>
          <a:off x="9836460" y="4995855"/>
          <a:ext cx="38100" cy="1363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17</xdr:row>
      <xdr:rowOff>166003</xdr:rowOff>
    </xdr:from>
    <xdr:to>
      <xdr:col>13</xdr:col>
      <xdr:colOff>206685</xdr:colOff>
      <xdr:row>26</xdr:row>
      <xdr:rowOff>23764</xdr:rowOff>
    </xdr:to>
    <xdr:sp macro="" textlink="">
      <xdr:nvSpPr>
        <xdr:cNvPr id="17671" name="Rechthoek 17670"/>
        <xdr:cNvSpPr/>
      </xdr:nvSpPr>
      <xdr:spPr>
        <a:xfrm>
          <a:off x="9836460" y="3423553"/>
          <a:ext cx="38100" cy="15722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16</xdr:row>
      <xdr:rowOff>31614</xdr:rowOff>
    </xdr:from>
    <xdr:to>
      <xdr:col>13</xdr:col>
      <xdr:colOff>206685</xdr:colOff>
      <xdr:row>17</xdr:row>
      <xdr:rowOff>165980</xdr:rowOff>
    </xdr:to>
    <xdr:sp macro="" textlink="">
      <xdr:nvSpPr>
        <xdr:cNvPr id="17672" name="Rechthoek 17671"/>
        <xdr:cNvSpPr/>
      </xdr:nvSpPr>
      <xdr:spPr>
        <a:xfrm>
          <a:off x="9836460" y="3098664"/>
          <a:ext cx="38100" cy="3248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6</xdr:row>
      <xdr:rowOff>174792</xdr:rowOff>
    </xdr:from>
    <xdr:to>
      <xdr:col>13</xdr:col>
      <xdr:colOff>206685</xdr:colOff>
      <xdr:row>16</xdr:row>
      <xdr:rowOff>31663</xdr:rowOff>
    </xdr:to>
    <xdr:sp macro="" textlink="">
      <xdr:nvSpPr>
        <xdr:cNvPr id="17673" name="Rechthoek 17672"/>
        <xdr:cNvSpPr/>
      </xdr:nvSpPr>
      <xdr:spPr>
        <a:xfrm>
          <a:off x="9836460" y="1317792"/>
          <a:ext cx="38100" cy="17809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6</xdr:row>
      <xdr:rowOff>172345</xdr:rowOff>
    </xdr:from>
    <xdr:to>
      <xdr:col>13</xdr:col>
      <xdr:colOff>206685</xdr:colOff>
      <xdr:row>6</xdr:row>
      <xdr:rowOff>174758</xdr:rowOff>
    </xdr:to>
    <xdr:sp macro="" textlink="">
      <xdr:nvSpPr>
        <xdr:cNvPr id="17674" name="Rechthoek 17673"/>
        <xdr:cNvSpPr/>
      </xdr:nvSpPr>
      <xdr:spPr>
        <a:xfrm>
          <a:off x="9836460" y="1315345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98584</xdr:colOff>
      <xdr:row>5</xdr:row>
      <xdr:rowOff>46406</xdr:rowOff>
    </xdr:from>
    <xdr:to>
      <xdr:col>13</xdr:col>
      <xdr:colOff>316144</xdr:colOff>
      <xdr:row>6</xdr:row>
      <xdr:rowOff>139702</xdr:rowOff>
    </xdr:to>
    <xdr:sp macro="" textlink="">
      <xdr:nvSpPr>
        <xdr:cNvPr id="17675" name="Tekstvak 17674"/>
        <xdr:cNvSpPr txBox="1"/>
      </xdr:nvSpPr>
      <xdr:spPr>
        <a:xfrm rot="-3000000">
          <a:off x="9733341" y="103202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423319</xdr:colOff>
      <xdr:row>31</xdr:row>
      <xdr:rowOff>134213</xdr:rowOff>
    </xdr:from>
    <xdr:to>
      <xdr:col>13</xdr:col>
      <xdr:colOff>461419</xdr:colOff>
      <xdr:row>31</xdr:row>
      <xdr:rowOff>141452</xdr:rowOff>
    </xdr:to>
    <xdr:sp macro="" textlink="">
      <xdr:nvSpPr>
        <xdr:cNvPr id="17676" name="Rechthoek 17675"/>
        <xdr:cNvSpPr/>
      </xdr:nvSpPr>
      <xdr:spPr>
        <a:xfrm>
          <a:off x="10091194" y="6058763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31</xdr:row>
      <xdr:rowOff>134213</xdr:rowOff>
    </xdr:from>
    <xdr:to>
      <xdr:col>13</xdr:col>
      <xdr:colOff>461419</xdr:colOff>
      <xdr:row>31</xdr:row>
      <xdr:rowOff>141452</xdr:rowOff>
    </xdr:to>
    <xdr:sp macro="" textlink="">
      <xdr:nvSpPr>
        <xdr:cNvPr id="17760" name="Rechthoek 17759"/>
        <xdr:cNvSpPr/>
      </xdr:nvSpPr>
      <xdr:spPr>
        <a:xfrm>
          <a:off x="10091194" y="6058763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27</xdr:row>
      <xdr:rowOff>92013</xdr:rowOff>
    </xdr:from>
    <xdr:to>
      <xdr:col>13</xdr:col>
      <xdr:colOff>461419</xdr:colOff>
      <xdr:row>31</xdr:row>
      <xdr:rowOff>134177</xdr:rowOff>
    </xdr:to>
    <xdr:sp macro="" textlink="">
      <xdr:nvSpPr>
        <xdr:cNvPr id="17761" name="Rechthoek 17760"/>
        <xdr:cNvSpPr/>
      </xdr:nvSpPr>
      <xdr:spPr>
        <a:xfrm>
          <a:off x="10091194" y="5254563"/>
          <a:ext cx="38100" cy="8041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25</xdr:row>
      <xdr:rowOff>66701</xdr:rowOff>
    </xdr:from>
    <xdr:to>
      <xdr:col>13</xdr:col>
      <xdr:colOff>461419</xdr:colOff>
      <xdr:row>27</xdr:row>
      <xdr:rowOff>91974</xdr:rowOff>
    </xdr:to>
    <xdr:sp macro="" textlink="">
      <xdr:nvSpPr>
        <xdr:cNvPr id="17762" name="Rechthoek 17761"/>
        <xdr:cNvSpPr/>
      </xdr:nvSpPr>
      <xdr:spPr>
        <a:xfrm>
          <a:off x="10091194" y="4848251"/>
          <a:ext cx="38100" cy="4062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18</xdr:row>
      <xdr:rowOff>64908</xdr:rowOff>
    </xdr:from>
    <xdr:to>
      <xdr:col>13</xdr:col>
      <xdr:colOff>461419</xdr:colOff>
      <xdr:row>25</xdr:row>
      <xdr:rowOff>66686</xdr:rowOff>
    </xdr:to>
    <xdr:sp macro="" textlink="">
      <xdr:nvSpPr>
        <xdr:cNvPr id="17763" name="Rechthoek 17762"/>
        <xdr:cNvSpPr/>
      </xdr:nvSpPr>
      <xdr:spPr>
        <a:xfrm>
          <a:off x="10091194" y="3512958"/>
          <a:ext cx="38100" cy="13352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15</xdr:row>
      <xdr:rowOff>92760</xdr:rowOff>
    </xdr:from>
    <xdr:to>
      <xdr:col>13</xdr:col>
      <xdr:colOff>461419</xdr:colOff>
      <xdr:row>18</xdr:row>
      <xdr:rowOff>64948</xdr:rowOff>
    </xdr:to>
    <xdr:sp macro="" textlink="">
      <xdr:nvSpPr>
        <xdr:cNvPr id="17764" name="Rechthoek 17763"/>
        <xdr:cNvSpPr/>
      </xdr:nvSpPr>
      <xdr:spPr>
        <a:xfrm>
          <a:off x="10091194" y="2969310"/>
          <a:ext cx="38100" cy="5436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8</xdr:row>
      <xdr:rowOff>143751</xdr:rowOff>
    </xdr:from>
    <xdr:to>
      <xdr:col>13</xdr:col>
      <xdr:colOff>461419</xdr:colOff>
      <xdr:row>15</xdr:row>
      <xdr:rowOff>92697</xdr:rowOff>
    </xdr:to>
    <xdr:sp macro="" textlink="">
      <xdr:nvSpPr>
        <xdr:cNvPr id="17765" name="Rechthoek 17764"/>
        <xdr:cNvSpPr/>
      </xdr:nvSpPr>
      <xdr:spPr>
        <a:xfrm>
          <a:off x="10091194" y="1686801"/>
          <a:ext cx="38100" cy="12824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6</xdr:row>
      <xdr:rowOff>157906</xdr:rowOff>
    </xdr:from>
    <xdr:to>
      <xdr:col>13</xdr:col>
      <xdr:colOff>461419</xdr:colOff>
      <xdr:row>8</xdr:row>
      <xdr:rowOff>143809</xdr:rowOff>
    </xdr:to>
    <xdr:sp macro="" textlink="">
      <xdr:nvSpPr>
        <xdr:cNvPr id="17766" name="Rechthoek 17765"/>
        <xdr:cNvSpPr/>
      </xdr:nvSpPr>
      <xdr:spPr>
        <a:xfrm>
          <a:off x="10091194" y="1300906"/>
          <a:ext cx="38100" cy="3859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368348</xdr:colOff>
      <xdr:row>4</xdr:row>
      <xdr:rowOff>190235</xdr:rowOff>
    </xdr:from>
    <xdr:to>
      <xdr:col>13</xdr:col>
      <xdr:colOff>585908</xdr:colOff>
      <xdr:row>6</xdr:row>
      <xdr:rowOff>132272</xdr:rowOff>
    </xdr:to>
    <xdr:sp macro="" textlink="">
      <xdr:nvSpPr>
        <xdr:cNvPr id="17767" name="Tekstvak 17766"/>
        <xdr:cNvSpPr txBox="1"/>
      </xdr:nvSpPr>
      <xdr:spPr>
        <a:xfrm rot="-3000000">
          <a:off x="9983484" y="1004974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13</xdr:col>
      <xdr:colOff>1009850</xdr:colOff>
      <xdr:row>31</xdr:row>
      <xdr:rowOff>102927</xdr:rowOff>
    </xdr:from>
    <xdr:to>
      <xdr:col>14</xdr:col>
      <xdr:colOff>9725</xdr:colOff>
      <xdr:row>31</xdr:row>
      <xdr:rowOff>107754</xdr:rowOff>
    </xdr:to>
    <xdr:sp macro="" textlink="">
      <xdr:nvSpPr>
        <xdr:cNvPr id="17768" name="Rechthoek 17767"/>
        <xdr:cNvSpPr/>
      </xdr:nvSpPr>
      <xdr:spPr>
        <a:xfrm>
          <a:off x="10677725" y="6027477"/>
          <a:ext cx="38100" cy="48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31</xdr:row>
      <xdr:rowOff>102927</xdr:rowOff>
    </xdr:from>
    <xdr:to>
      <xdr:col>14</xdr:col>
      <xdr:colOff>9725</xdr:colOff>
      <xdr:row>31</xdr:row>
      <xdr:rowOff>107754</xdr:rowOff>
    </xdr:to>
    <xdr:sp macro="" textlink="">
      <xdr:nvSpPr>
        <xdr:cNvPr id="17769" name="Rechthoek 17768"/>
        <xdr:cNvSpPr/>
      </xdr:nvSpPr>
      <xdr:spPr>
        <a:xfrm>
          <a:off x="10677725" y="6027477"/>
          <a:ext cx="38100" cy="48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26</xdr:row>
      <xdr:rowOff>146942</xdr:rowOff>
    </xdr:from>
    <xdr:to>
      <xdr:col>14</xdr:col>
      <xdr:colOff>9725</xdr:colOff>
      <xdr:row>31</xdr:row>
      <xdr:rowOff>102873</xdr:rowOff>
    </xdr:to>
    <xdr:sp macro="" textlink="">
      <xdr:nvSpPr>
        <xdr:cNvPr id="17770" name="Rechthoek 17769"/>
        <xdr:cNvSpPr/>
      </xdr:nvSpPr>
      <xdr:spPr>
        <a:xfrm>
          <a:off x="10677725" y="5118992"/>
          <a:ext cx="38100" cy="9084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26</xdr:row>
      <xdr:rowOff>20596</xdr:rowOff>
    </xdr:from>
    <xdr:to>
      <xdr:col>14</xdr:col>
      <xdr:colOff>9725</xdr:colOff>
      <xdr:row>26</xdr:row>
      <xdr:rowOff>146962</xdr:rowOff>
    </xdr:to>
    <xdr:sp macro="" textlink="">
      <xdr:nvSpPr>
        <xdr:cNvPr id="17771" name="Rechthoek 17770"/>
        <xdr:cNvSpPr/>
      </xdr:nvSpPr>
      <xdr:spPr>
        <a:xfrm>
          <a:off x="10677725" y="4992646"/>
          <a:ext cx="38100" cy="1263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17</xdr:row>
      <xdr:rowOff>156778</xdr:rowOff>
    </xdr:from>
    <xdr:to>
      <xdr:col>14</xdr:col>
      <xdr:colOff>9725</xdr:colOff>
      <xdr:row>26</xdr:row>
      <xdr:rowOff>20634</xdr:rowOff>
    </xdr:to>
    <xdr:sp macro="" textlink="">
      <xdr:nvSpPr>
        <xdr:cNvPr id="17772" name="Rechthoek 17771"/>
        <xdr:cNvSpPr/>
      </xdr:nvSpPr>
      <xdr:spPr>
        <a:xfrm>
          <a:off x="10677725" y="3414328"/>
          <a:ext cx="38100" cy="15783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16</xdr:row>
      <xdr:rowOff>27403</xdr:rowOff>
    </xdr:from>
    <xdr:to>
      <xdr:col>14</xdr:col>
      <xdr:colOff>9725</xdr:colOff>
      <xdr:row>17</xdr:row>
      <xdr:rowOff>156816</xdr:rowOff>
    </xdr:to>
    <xdr:sp macro="" textlink="">
      <xdr:nvSpPr>
        <xdr:cNvPr id="17773" name="Rechthoek 17772"/>
        <xdr:cNvSpPr/>
      </xdr:nvSpPr>
      <xdr:spPr>
        <a:xfrm>
          <a:off x="10677725" y="3094453"/>
          <a:ext cx="38100" cy="3199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6</xdr:row>
      <xdr:rowOff>131473</xdr:rowOff>
    </xdr:from>
    <xdr:to>
      <xdr:col>14</xdr:col>
      <xdr:colOff>9725</xdr:colOff>
      <xdr:row>16</xdr:row>
      <xdr:rowOff>27460</xdr:rowOff>
    </xdr:to>
    <xdr:sp macro="" textlink="">
      <xdr:nvSpPr>
        <xdr:cNvPr id="17774" name="Rechthoek 17773"/>
        <xdr:cNvSpPr/>
      </xdr:nvSpPr>
      <xdr:spPr>
        <a:xfrm>
          <a:off x="10677725" y="1274473"/>
          <a:ext cx="38100" cy="18200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6</xdr:row>
      <xdr:rowOff>124214</xdr:rowOff>
    </xdr:from>
    <xdr:to>
      <xdr:col>14</xdr:col>
      <xdr:colOff>9725</xdr:colOff>
      <xdr:row>6</xdr:row>
      <xdr:rowOff>131453</xdr:rowOff>
    </xdr:to>
    <xdr:sp macro="" textlink="">
      <xdr:nvSpPr>
        <xdr:cNvPr id="17775" name="Rechthoek 17774"/>
        <xdr:cNvSpPr/>
      </xdr:nvSpPr>
      <xdr:spPr>
        <a:xfrm>
          <a:off x="10677725" y="1267214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1023644</xdr:colOff>
      <xdr:row>4</xdr:row>
      <xdr:rowOff>9073</xdr:rowOff>
    </xdr:from>
    <xdr:to>
      <xdr:col>14</xdr:col>
      <xdr:colOff>202979</xdr:colOff>
      <xdr:row>6</xdr:row>
      <xdr:rowOff>130646</xdr:rowOff>
    </xdr:to>
    <xdr:sp macro="" textlink="">
      <xdr:nvSpPr>
        <xdr:cNvPr id="17776" name="Tekstvak 17775"/>
        <xdr:cNvSpPr txBox="1"/>
      </xdr:nvSpPr>
      <xdr:spPr>
        <a:xfrm rot="-3000000">
          <a:off x="10549012" y="91358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311983</xdr:colOff>
      <xdr:row>31</xdr:row>
      <xdr:rowOff>78862</xdr:rowOff>
    </xdr:from>
    <xdr:to>
      <xdr:col>14</xdr:col>
      <xdr:colOff>350083</xdr:colOff>
      <xdr:row>31</xdr:row>
      <xdr:rowOff>88514</xdr:rowOff>
    </xdr:to>
    <xdr:sp macro="" textlink="">
      <xdr:nvSpPr>
        <xdr:cNvPr id="17777" name="Rechthoek 17776"/>
        <xdr:cNvSpPr/>
      </xdr:nvSpPr>
      <xdr:spPr>
        <a:xfrm>
          <a:off x="11018083" y="6003412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31</xdr:row>
      <xdr:rowOff>78862</xdr:rowOff>
    </xdr:from>
    <xdr:to>
      <xdr:col>14</xdr:col>
      <xdr:colOff>350083</xdr:colOff>
      <xdr:row>31</xdr:row>
      <xdr:rowOff>88514</xdr:rowOff>
    </xdr:to>
    <xdr:sp macro="" textlink="">
      <xdr:nvSpPr>
        <xdr:cNvPr id="17778" name="Rechthoek 17777"/>
        <xdr:cNvSpPr/>
      </xdr:nvSpPr>
      <xdr:spPr>
        <a:xfrm>
          <a:off x="11018083" y="6003412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27</xdr:row>
      <xdr:rowOff>44282</xdr:rowOff>
    </xdr:from>
    <xdr:to>
      <xdr:col>14</xdr:col>
      <xdr:colOff>350083</xdr:colOff>
      <xdr:row>31</xdr:row>
      <xdr:rowOff>78826</xdr:rowOff>
    </xdr:to>
    <xdr:sp macro="" textlink="">
      <xdr:nvSpPr>
        <xdr:cNvPr id="17779" name="Rechthoek 17778"/>
        <xdr:cNvSpPr/>
      </xdr:nvSpPr>
      <xdr:spPr>
        <a:xfrm>
          <a:off x="11018083" y="5206832"/>
          <a:ext cx="38100" cy="7965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25</xdr:row>
      <xdr:rowOff>114833</xdr:rowOff>
    </xdr:from>
    <xdr:to>
      <xdr:col>14</xdr:col>
      <xdr:colOff>350083</xdr:colOff>
      <xdr:row>27</xdr:row>
      <xdr:rowOff>44221</xdr:rowOff>
    </xdr:to>
    <xdr:sp macro="" textlink="">
      <xdr:nvSpPr>
        <xdr:cNvPr id="17780" name="Rechthoek 17779"/>
        <xdr:cNvSpPr/>
      </xdr:nvSpPr>
      <xdr:spPr>
        <a:xfrm>
          <a:off x="11018083" y="4896383"/>
          <a:ext cx="38100" cy="3103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18</xdr:row>
      <xdr:rowOff>23274</xdr:rowOff>
    </xdr:from>
    <xdr:to>
      <xdr:col>14</xdr:col>
      <xdr:colOff>350083</xdr:colOff>
      <xdr:row>25</xdr:row>
      <xdr:rowOff>114841</xdr:rowOff>
    </xdr:to>
    <xdr:sp macro="" textlink="">
      <xdr:nvSpPr>
        <xdr:cNvPr id="17781" name="Rechthoek 17780"/>
        <xdr:cNvSpPr/>
      </xdr:nvSpPr>
      <xdr:spPr>
        <a:xfrm>
          <a:off x="11018083" y="3471324"/>
          <a:ext cx="38100" cy="14250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15</xdr:row>
      <xdr:rowOff>142697</xdr:rowOff>
    </xdr:from>
    <xdr:to>
      <xdr:col>14</xdr:col>
      <xdr:colOff>350083</xdr:colOff>
      <xdr:row>18</xdr:row>
      <xdr:rowOff>23317</xdr:rowOff>
    </xdr:to>
    <xdr:sp macro="" textlink="">
      <xdr:nvSpPr>
        <xdr:cNvPr id="17782" name="Rechthoek 17781"/>
        <xdr:cNvSpPr/>
      </xdr:nvSpPr>
      <xdr:spPr>
        <a:xfrm>
          <a:off x="11018083" y="3019247"/>
          <a:ext cx="38100" cy="4521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8</xdr:row>
      <xdr:rowOff>89403</xdr:rowOff>
    </xdr:from>
    <xdr:to>
      <xdr:col>14</xdr:col>
      <xdr:colOff>350083</xdr:colOff>
      <xdr:row>15</xdr:row>
      <xdr:rowOff>142743</xdr:rowOff>
    </xdr:to>
    <xdr:sp macro="" textlink="">
      <xdr:nvSpPr>
        <xdr:cNvPr id="17783" name="Rechthoek 17782"/>
        <xdr:cNvSpPr/>
      </xdr:nvSpPr>
      <xdr:spPr>
        <a:xfrm>
          <a:off x="11018083" y="1632453"/>
          <a:ext cx="38100" cy="13868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7</xdr:row>
      <xdr:rowOff>3646</xdr:rowOff>
    </xdr:from>
    <xdr:to>
      <xdr:col>14</xdr:col>
      <xdr:colOff>350083</xdr:colOff>
      <xdr:row>8</xdr:row>
      <xdr:rowOff>89371</xdr:rowOff>
    </xdr:to>
    <xdr:sp macro="" textlink="">
      <xdr:nvSpPr>
        <xdr:cNvPr id="17784" name="Rechthoek 17783"/>
        <xdr:cNvSpPr/>
      </xdr:nvSpPr>
      <xdr:spPr>
        <a:xfrm>
          <a:off x="11018083" y="1346671"/>
          <a:ext cx="38100" cy="2857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6</xdr:row>
      <xdr:rowOff>107408</xdr:rowOff>
    </xdr:from>
    <xdr:to>
      <xdr:col>14</xdr:col>
      <xdr:colOff>350083</xdr:colOff>
      <xdr:row>7</xdr:row>
      <xdr:rowOff>3649</xdr:rowOff>
    </xdr:to>
    <xdr:sp macro="" textlink="">
      <xdr:nvSpPr>
        <xdr:cNvPr id="17785" name="Rechthoek 17784"/>
        <xdr:cNvSpPr/>
      </xdr:nvSpPr>
      <xdr:spPr>
        <a:xfrm>
          <a:off x="11018083" y="1250408"/>
          <a:ext cx="38100" cy="962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6</xdr:row>
      <xdr:rowOff>104961</xdr:rowOff>
    </xdr:from>
    <xdr:to>
      <xdr:col>14</xdr:col>
      <xdr:colOff>350083</xdr:colOff>
      <xdr:row>6</xdr:row>
      <xdr:rowOff>107374</xdr:rowOff>
    </xdr:to>
    <xdr:sp macro="" textlink="">
      <xdr:nvSpPr>
        <xdr:cNvPr id="17786" name="Rechthoek 17785"/>
        <xdr:cNvSpPr/>
      </xdr:nvSpPr>
      <xdr:spPr>
        <a:xfrm>
          <a:off x="11018083" y="1247961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325778</xdr:colOff>
      <xdr:row>3</xdr:row>
      <xdr:rowOff>180320</xdr:rowOff>
    </xdr:from>
    <xdr:to>
      <xdr:col>14</xdr:col>
      <xdr:colOff>543338</xdr:colOff>
      <xdr:row>6</xdr:row>
      <xdr:rowOff>111393</xdr:rowOff>
    </xdr:to>
    <xdr:sp macro="" textlink="">
      <xdr:nvSpPr>
        <xdr:cNvPr id="17787" name="Tekstvak 17786"/>
        <xdr:cNvSpPr txBox="1"/>
      </xdr:nvSpPr>
      <xdr:spPr>
        <a:xfrm rot="-3000000">
          <a:off x="10889371" y="89432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720842</xdr:colOff>
      <xdr:row>31</xdr:row>
      <xdr:rowOff>59609</xdr:rowOff>
    </xdr:from>
    <xdr:to>
      <xdr:col>14</xdr:col>
      <xdr:colOff>758942</xdr:colOff>
      <xdr:row>31</xdr:row>
      <xdr:rowOff>64435</xdr:rowOff>
    </xdr:to>
    <xdr:sp macro="" textlink="">
      <xdr:nvSpPr>
        <xdr:cNvPr id="17788" name="Rechthoek 17787"/>
        <xdr:cNvSpPr/>
      </xdr:nvSpPr>
      <xdr:spPr>
        <a:xfrm>
          <a:off x="11426942" y="5984159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31</xdr:row>
      <xdr:rowOff>59609</xdr:rowOff>
    </xdr:from>
    <xdr:to>
      <xdr:col>14</xdr:col>
      <xdr:colOff>758942</xdr:colOff>
      <xdr:row>31</xdr:row>
      <xdr:rowOff>64435</xdr:rowOff>
    </xdr:to>
    <xdr:sp macro="" textlink="">
      <xdr:nvSpPr>
        <xdr:cNvPr id="17789" name="Rechthoek 17788"/>
        <xdr:cNvSpPr/>
      </xdr:nvSpPr>
      <xdr:spPr>
        <a:xfrm>
          <a:off x="11426942" y="5984159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27</xdr:row>
      <xdr:rowOff>104808</xdr:rowOff>
    </xdr:from>
    <xdr:to>
      <xdr:col>14</xdr:col>
      <xdr:colOff>758942</xdr:colOff>
      <xdr:row>31</xdr:row>
      <xdr:rowOff>59596</xdr:rowOff>
    </xdr:to>
    <xdr:sp macro="" textlink="">
      <xdr:nvSpPr>
        <xdr:cNvPr id="17790" name="Rechthoek 17789"/>
        <xdr:cNvSpPr/>
      </xdr:nvSpPr>
      <xdr:spPr>
        <a:xfrm>
          <a:off x="11426942" y="5267358"/>
          <a:ext cx="38100" cy="7167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24</xdr:row>
      <xdr:rowOff>162743</xdr:rowOff>
    </xdr:from>
    <xdr:to>
      <xdr:col>14</xdr:col>
      <xdr:colOff>758942</xdr:colOff>
      <xdr:row>27</xdr:row>
      <xdr:rowOff>104831</xdr:rowOff>
    </xdr:to>
    <xdr:sp macro="" textlink="">
      <xdr:nvSpPr>
        <xdr:cNvPr id="17791" name="Rechthoek 17790"/>
        <xdr:cNvSpPr/>
      </xdr:nvSpPr>
      <xdr:spPr>
        <a:xfrm>
          <a:off x="11426942" y="4753793"/>
          <a:ext cx="38100" cy="5135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18</xdr:row>
      <xdr:rowOff>73892</xdr:rowOff>
    </xdr:from>
    <xdr:to>
      <xdr:col>14</xdr:col>
      <xdr:colOff>758942</xdr:colOff>
      <xdr:row>24</xdr:row>
      <xdr:rowOff>162792</xdr:rowOff>
    </xdr:to>
    <xdr:sp macro="" textlink="">
      <xdr:nvSpPr>
        <xdr:cNvPr id="17792" name="Rechthoek 17791"/>
        <xdr:cNvSpPr/>
      </xdr:nvSpPr>
      <xdr:spPr>
        <a:xfrm>
          <a:off x="11426942" y="3521942"/>
          <a:ext cx="38100" cy="12319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14</xdr:row>
      <xdr:rowOff>188802</xdr:rowOff>
    </xdr:from>
    <xdr:to>
      <xdr:col>14</xdr:col>
      <xdr:colOff>758942</xdr:colOff>
      <xdr:row>18</xdr:row>
      <xdr:rowOff>73867</xdr:rowOff>
    </xdr:to>
    <xdr:sp macro="" textlink="">
      <xdr:nvSpPr>
        <xdr:cNvPr id="17793" name="Rechthoek 17792"/>
        <xdr:cNvSpPr/>
      </xdr:nvSpPr>
      <xdr:spPr>
        <a:xfrm>
          <a:off x="11426942" y="2874852"/>
          <a:ext cx="38100" cy="647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8</xdr:row>
      <xdr:rowOff>159114</xdr:rowOff>
    </xdr:from>
    <xdr:to>
      <xdr:col>14</xdr:col>
      <xdr:colOff>758942</xdr:colOff>
      <xdr:row>14</xdr:row>
      <xdr:rowOff>188831</xdr:rowOff>
    </xdr:to>
    <xdr:sp macro="" textlink="">
      <xdr:nvSpPr>
        <xdr:cNvPr id="17794" name="Rechthoek 17793"/>
        <xdr:cNvSpPr/>
      </xdr:nvSpPr>
      <xdr:spPr>
        <a:xfrm>
          <a:off x="11426942" y="1702164"/>
          <a:ext cx="38100" cy="11727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6</xdr:row>
      <xdr:rowOff>80895</xdr:rowOff>
    </xdr:from>
    <xdr:to>
      <xdr:col>14</xdr:col>
      <xdr:colOff>758942</xdr:colOff>
      <xdr:row>8</xdr:row>
      <xdr:rowOff>159127</xdr:rowOff>
    </xdr:to>
    <xdr:sp macro="" textlink="">
      <xdr:nvSpPr>
        <xdr:cNvPr id="17795" name="Rechthoek 17794"/>
        <xdr:cNvSpPr/>
      </xdr:nvSpPr>
      <xdr:spPr>
        <a:xfrm>
          <a:off x="11426942" y="1223895"/>
          <a:ext cx="38100" cy="4782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734637</xdr:colOff>
      <xdr:row>3</xdr:row>
      <xdr:rowOff>156254</xdr:rowOff>
    </xdr:from>
    <xdr:to>
      <xdr:col>14</xdr:col>
      <xdr:colOff>952197</xdr:colOff>
      <xdr:row>6</xdr:row>
      <xdr:rowOff>87327</xdr:rowOff>
    </xdr:to>
    <xdr:sp macro="" textlink="">
      <xdr:nvSpPr>
        <xdr:cNvPr id="17796" name="Tekstvak 17795"/>
        <xdr:cNvSpPr txBox="1"/>
      </xdr:nvSpPr>
      <xdr:spPr>
        <a:xfrm rot="-3000000">
          <a:off x="11298230" y="87026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742224</xdr:colOff>
      <xdr:row>30</xdr:row>
      <xdr:rowOff>182725</xdr:rowOff>
    </xdr:from>
    <xdr:to>
      <xdr:col>15</xdr:col>
      <xdr:colOff>780324</xdr:colOff>
      <xdr:row>31</xdr:row>
      <xdr:rowOff>4290</xdr:rowOff>
    </xdr:to>
    <xdr:sp macro="" textlink="">
      <xdr:nvSpPr>
        <xdr:cNvPr id="17797" name="Rechthoek 17796"/>
        <xdr:cNvSpPr/>
      </xdr:nvSpPr>
      <xdr:spPr>
        <a:xfrm>
          <a:off x="12486549" y="5916775"/>
          <a:ext cx="38100" cy="12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30</xdr:row>
      <xdr:rowOff>182725</xdr:rowOff>
    </xdr:from>
    <xdr:to>
      <xdr:col>15</xdr:col>
      <xdr:colOff>780324</xdr:colOff>
      <xdr:row>31</xdr:row>
      <xdr:rowOff>4290</xdr:rowOff>
    </xdr:to>
    <xdr:sp macro="" textlink="">
      <xdr:nvSpPr>
        <xdr:cNvPr id="17798" name="Rechthoek 17797"/>
        <xdr:cNvSpPr/>
      </xdr:nvSpPr>
      <xdr:spPr>
        <a:xfrm>
          <a:off x="12486549" y="5916775"/>
          <a:ext cx="38100" cy="12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27</xdr:row>
      <xdr:rowOff>98912</xdr:rowOff>
    </xdr:from>
    <xdr:to>
      <xdr:col>15</xdr:col>
      <xdr:colOff>780324</xdr:colOff>
      <xdr:row>30</xdr:row>
      <xdr:rowOff>182732</xdr:rowOff>
    </xdr:to>
    <xdr:sp macro="" textlink="">
      <xdr:nvSpPr>
        <xdr:cNvPr id="17799" name="Rechthoek 17798"/>
        <xdr:cNvSpPr/>
      </xdr:nvSpPr>
      <xdr:spPr>
        <a:xfrm>
          <a:off x="12486549" y="5261462"/>
          <a:ext cx="38100" cy="6553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24</xdr:row>
      <xdr:rowOff>93032</xdr:rowOff>
    </xdr:from>
    <xdr:to>
      <xdr:col>15</xdr:col>
      <xdr:colOff>780324</xdr:colOff>
      <xdr:row>27</xdr:row>
      <xdr:rowOff>98874</xdr:rowOff>
    </xdr:to>
    <xdr:sp macro="" textlink="">
      <xdr:nvSpPr>
        <xdr:cNvPr id="17800" name="Rechthoek 17799"/>
        <xdr:cNvSpPr/>
      </xdr:nvSpPr>
      <xdr:spPr>
        <a:xfrm>
          <a:off x="12486549" y="4684082"/>
          <a:ext cx="38100" cy="5773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18</xdr:row>
      <xdr:rowOff>56966</xdr:rowOff>
    </xdr:from>
    <xdr:to>
      <xdr:col>15</xdr:col>
      <xdr:colOff>780324</xdr:colOff>
      <xdr:row>24</xdr:row>
      <xdr:rowOff>93034</xdr:rowOff>
    </xdr:to>
    <xdr:sp macro="" textlink="">
      <xdr:nvSpPr>
        <xdr:cNvPr id="17801" name="Rechthoek 17800"/>
        <xdr:cNvSpPr/>
      </xdr:nvSpPr>
      <xdr:spPr>
        <a:xfrm>
          <a:off x="12486549" y="3505016"/>
          <a:ext cx="38100" cy="11790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14</xdr:row>
      <xdr:rowOff>144280</xdr:rowOff>
    </xdr:from>
    <xdr:to>
      <xdr:col>15</xdr:col>
      <xdr:colOff>780324</xdr:colOff>
      <xdr:row>18</xdr:row>
      <xdr:rowOff>56904</xdr:rowOff>
    </xdr:to>
    <xdr:sp macro="" textlink="">
      <xdr:nvSpPr>
        <xdr:cNvPr id="17802" name="Rechthoek 17801"/>
        <xdr:cNvSpPr/>
      </xdr:nvSpPr>
      <xdr:spPr>
        <a:xfrm>
          <a:off x="12486549" y="2830330"/>
          <a:ext cx="38100" cy="6746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8</xdr:row>
      <xdr:rowOff>154180</xdr:rowOff>
    </xdr:from>
    <xdr:to>
      <xdr:col>15</xdr:col>
      <xdr:colOff>780324</xdr:colOff>
      <xdr:row>14</xdr:row>
      <xdr:rowOff>144274</xdr:rowOff>
    </xdr:to>
    <xdr:sp macro="" textlink="">
      <xdr:nvSpPr>
        <xdr:cNvPr id="17803" name="Rechthoek 17802"/>
        <xdr:cNvSpPr/>
      </xdr:nvSpPr>
      <xdr:spPr>
        <a:xfrm>
          <a:off x="12486549" y="1697230"/>
          <a:ext cx="38100" cy="11330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6</xdr:row>
      <xdr:rowOff>20730</xdr:rowOff>
    </xdr:from>
    <xdr:to>
      <xdr:col>15</xdr:col>
      <xdr:colOff>780324</xdr:colOff>
      <xdr:row>8</xdr:row>
      <xdr:rowOff>154207</xdr:rowOff>
    </xdr:to>
    <xdr:sp macro="" textlink="">
      <xdr:nvSpPr>
        <xdr:cNvPr id="17804" name="Rechthoek 17803"/>
        <xdr:cNvSpPr/>
      </xdr:nvSpPr>
      <xdr:spPr>
        <a:xfrm>
          <a:off x="12486549" y="1163730"/>
          <a:ext cx="38100" cy="5335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793694</xdr:colOff>
      <xdr:row>3</xdr:row>
      <xdr:rowOff>15296</xdr:rowOff>
    </xdr:from>
    <xdr:to>
      <xdr:col>15</xdr:col>
      <xdr:colOff>1011254</xdr:colOff>
      <xdr:row>6</xdr:row>
      <xdr:rowOff>44730</xdr:rowOff>
    </xdr:to>
    <xdr:sp macro="" textlink="">
      <xdr:nvSpPr>
        <xdr:cNvPr id="17805" name="Tekstvak 17804"/>
        <xdr:cNvSpPr txBox="1"/>
      </xdr:nvSpPr>
      <xdr:spPr>
        <a:xfrm rot="-3000000">
          <a:off x="12346332" y="77848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17</xdr:col>
      <xdr:colOff>149225</xdr:colOff>
      <xdr:row>26</xdr:row>
      <xdr:rowOff>161502</xdr:rowOff>
    </xdr:from>
    <xdr:to>
      <xdr:col>17</xdr:col>
      <xdr:colOff>187325</xdr:colOff>
      <xdr:row>30</xdr:row>
      <xdr:rowOff>110575</xdr:rowOff>
    </xdr:to>
    <xdr:sp macro="" textlink="">
      <xdr:nvSpPr>
        <xdr:cNvPr id="17806" name="Rechthoek 17805"/>
        <xdr:cNvSpPr/>
      </xdr:nvSpPr>
      <xdr:spPr>
        <a:xfrm>
          <a:off x="13970000" y="5133552"/>
          <a:ext cx="38100" cy="7110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25</xdr:row>
      <xdr:rowOff>37221</xdr:rowOff>
    </xdr:from>
    <xdr:to>
      <xdr:col>17</xdr:col>
      <xdr:colOff>187325</xdr:colOff>
      <xdr:row>26</xdr:row>
      <xdr:rowOff>161554</xdr:rowOff>
    </xdr:to>
    <xdr:sp macro="" textlink="">
      <xdr:nvSpPr>
        <xdr:cNvPr id="17807" name="Rechthoek 17806"/>
        <xdr:cNvSpPr/>
      </xdr:nvSpPr>
      <xdr:spPr>
        <a:xfrm>
          <a:off x="13970000" y="4818771"/>
          <a:ext cx="38100" cy="3148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17</xdr:row>
      <xdr:rowOff>126295</xdr:rowOff>
    </xdr:from>
    <xdr:to>
      <xdr:col>17</xdr:col>
      <xdr:colOff>187325</xdr:colOff>
      <xdr:row>25</xdr:row>
      <xdr:rowOff>37267</xdr:rowOff>
    </xdr:to>
    <xdr:sp macro="" textlink="">
      <xdr:nvSpPr>
        <xdr:cNvPr id="17808" name="Rechthoek 17807"/>
        <xdr:cNvSpPr/>
      </xdr:nvSpPr>
      <xdr:spPr>
        <a:xfrm>
          <a:off x="13970000" y="3383845"/>
          <a:ext cx="38100" cy="14349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15</xdr:row>
      <xdr:rowOff>40016</xdr:rowOff>
    </xdr:from>
    <xdr:to>
      <xdr:col>17</xdr:col>
      <xdr:colOff>187325</xdr:colOff>
      <xdr:row>17</xdr:row>
      <xdr:rowOff>126249</xdr:rowOff>
    </xdr:to>
    <xdr:sp macro="" textlink="">
      <xdr:nvSpPr>
        <xdr:cNvPr id="17809" name="Rechthoek 17808"/>
        <xdr:cNvSpPr/>
      </xdr:nvSpPr>
      <xdr:spPr>
        <a:xfrm>
          <a:off x="13970000" y="2916566"/>
          <a:ext cx="38100" cy="4672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8</xdr:row>
      <xdr:rowOff>24385</xdr:rowOff>
    </xdr:from>
    <xdr:to>
      <xdr:col>17</xdr:col>
      <xdr:colOff>187325</xdr:colOff>
      <xdr:row>15</xdr:row>
      <xdr:rowOff>40006</xdr:rowOff>
    </xdr:to>
    <xdr:sp macro="" textlink="">
      <xdr:nvSpPr>
        <xdr:cNvPr id="17810" name="Rechthoek 17809"/>
        <xdr:cNvSpPr/>
      </xdr:nvSpPr>
      <xdr:spPr>
        <a:xfrm>
          <a:off x="13970000" y="1567435"/>
          <a:ext cx="38100" cy="13491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6</xdr:row>
      <xdr:rowOff>138092</xdr:rowOff>
    </xdr:from>
    <xdr:to>
      <xdr:col>17</xdr:col>
      <xdr:colOff>187325</xdr:colOff>
      <xdr:row>8</xdr:row>
      <xdr:rowOff>24427</xdr:rowOff>
    </xdr:to>
    <xdr:sp macro="" textlink="">
      <xdr:nvSpPr>
        <xdr:cNvPr id="17811" name="Rechthoek 17810"/>
        <xdr:cNvSpPr/>
      </xdr:nvSpPr>
      <xdr:spPr>
        <a:xfrm>
          <a:off x="13970000" y="1281092"/>
          <a:ext cx="38100" cy="286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5</xdr:row>
      <xdr:rowOff>127040</xdr:rowOff>
    </xdr:from>
    <xdr:to>
      <xdr:col>17</xdr:col>
      <xdr:colOff>187325</xdr:colOff>
      <xdr:row>6</xdr:row>
      <xdr:rowOff>138089</xdr:rowOff>
    </xdr:to>
    <xdr:sp macro="" textlink="">
      <xdr:nvSpPr>
        <xdr:cNvPr id="17812" name="Rechthoek 17811"/>
        <xdr:cNvSpPr/>
      </xdr:nvSpPr>
      <xdr:spPr>
        <a:xfrm>
          <a:off x="13970000" y="1079540"/>
          <a:ext cx="38100" cy="2015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105920</xdr:colOff>
      <xdr:row>3</xdr:row>
      <xdr:rowOff>134311</xdr:rowOff>
    </xdr:from>
    <xdr:to>
      <xdr:col>17</xdr:col>
      <xdr:colOff>323480</xdr:colOff>
      <xdr:row>5</xdr:row>
      <xdr:rowOff>106806</xdr:rowOff>
    </xdr:to>
    <xdr:sp macro="" textlink="">
      <xdr:nvSpPr>
        <xdr:cNvPr id="17813" name="Tekstvak 17812"/>
        <xdr:cNvSpPr txBox="1"/>
      </xdr:nvSpPr>
      <xdr:spPr>
        <a:xfrm rot="-3000000">
          <a:off x="13858727" y="773779"/>
          <a:ext cx="3534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AEA</a:t>
          </a:r>
        </a:p>
      </xdr:txBody>
    </xdr:sp>
    <xdr:clientData/>
  </xdr:twoCellAnchor>
  <xdr:twoCellAnchor editAs="absolute">
    <xdr:from>
      <xdr:col>6</xdr:col>
      <xdr:colOff>453899</xdr:colOff>
      <xdr:row>31</xdr:row>
      <xdr:rowOff>136620</xdr:rowOff>
    </xdr:from>
    <xdr:to>
      <xdr:col>7</xdr:col>
      <xdr:colOff>527050</xdr:colOff>
      <xdr:row>32</xdr:row>
      <xdr:rowOff>163680</xdr:rowOff>
    </xdr:to>
    <xdr:sp macro="" textlink="">
      <xdr:nvSpPr>
        <xdr:cNvPr id="17814" name="Tekstvak 17813"/>
        <xdr:cNvSpPr txBox="1"/>
      </xdr:nvSpPr>
      <xdr:spPr>
        <a:xfrm>
          <a:off x="4397249" y="606117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28-12 21:37</a:t>
          </a:r>
        </a:p>
      </xdr:txBody>
    </xdr:sp>
    <xdr:clientData/>
  </xdr:twoCellAnchor>
  <xdr:twoCellAnchor editAs="absolute">
    <xdr:from>
      <xdr:col>6</xdr:col>
      <xdr:colOff>453899</xdr:colOff>
      <xdr:row>24</xdr:row>
      <xdr:rowOff>73494</xdr:rowOff>
    </xdr:from>
    <xdr:to>
      <xdr:col>7</xdr:col>
      <xdr:colOff>527050</xdr:colOff>
      <xdr:row>25</xdr:row>
      <xdr:rowOff>100554</xdr:rowOff>
    </xdr:to>
    <xdr:sp macro="" textlink="">
      <xdr:nvSpPr>
        <xdr:cNvPr id="17815" name="Tekstvak 17814"/>
        <xdr:cNvSpPr txBox="1"/>
      </xdr:nvSpPr>
      <xdr:spPr>
        <a:xfrm>
          <a:off x="4397249" y="466454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29-12 05:47</a:t>
          </a:r>
        </a:p>
      </xdr:txBody>
    </xdr:sp>
    <xdr:clientData/>
  </xdr:twoCellAnchor>
  <xdr:twoCellAnchor editAs="absolute">
    <xdr:from>
      <xdr:col>7</xdr:col>
      <xdr:colOff>527050</xdr:colOff>
      <xdr:row>31</xdr:row>
      <xdr:rowOff>69235</xdr:rowOff>
    </xdr:from>
    <xdr:to>
      <xdr:col>8</xdr:col>
      <xdr:colOff>1094792</xdr:colOff>
      <xdr:row>31</xdr:row>
      <xdr:rowOff>136620</xdr:rowOff>
    </xdr:to>
    <xdr:cxnSp macro="">
      <xdr:nvCxnSpPr>
        <xdr:cNvPr id="17816" name="Rechte verbindingslijn met pijl 17815"/>
        <xdr:cNvCxnSpPr/>
      </xdr:nvCxnSpPr>
      <xdr:spPr>
        <a:xfrm flipV="1">
          <a:off x="5080000" y="5993785"/>
          <a:ext cx="1177342" cy="673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25</xdr:row>
      <xdr:rowOff>33170</xdr:rowOff>
    </xdr:from>
    <xdr:to>
      <xdr:col>8</xdr:col>
      <xdr:colOff>1094792</xdr:colOff>
      <xdr:row>25</xdr:row>
      <xdr:rowOff>100554</xdr:rowOff>
    </xdr:to>
    <xdr:cxnSp macro="">
      <xdr:nvCxnSpPr>
        <xdr:cNvPr id="17817" name="Rechte verbindingslijn met pijl 17816"/>
        <xdr:cNvCxnSpPr/>
      </xdr:nvCxnSpPr>
      <xdr:spPr>
        <a:xfrm flipV="1">
          <a:off x="5080000" y="4814720"/>
          <a:ext cx="1177342" cy="673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1094792</xdr:colOff>
      <xdr:row>31</xdr:row>
      <xdr:rowOff>23510</xdr:rowOff>
    </xdr:from>
    <xdr:to>
      <xdr:col>10</xdr:col>
      <xdr:colOff>100403</xdr:colOff>
      <xdr:row>31</xdr:row>
      <xdr:rowOff>69235</xdr:rowOff>
    </xdr:to>
    <xdr:cxnSp macro="">
      <xdr:nvCxnSpPr>
        <xdr:cNvPr id="17818" name="Rechte verbindingslijn met pijl 17817"/>
        <xdr:cNvCxnSpPr/>
      </xdr:nvCxnSpPr>
      <xdr:spPr>
        <a:xfrm flipV="1">
          <a:off x="6257342" y="5948060"/>
          <a:ext cx="796311" cy="457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1094792</xdr:colOff>
      <xdr:row>24</xdr:row>
      <xdr:rowOff>177945</xdr:rowOff>
    </xdr:from>
    <xdr:to>
      <xdr:col>10</xdr:col>
      <xdr:colOff>100403</xdr:colOff>
      <xdr:row>25</xdr:row>
      <xdr:rowOff>33170</xdr:rowOff>
    </xdr:to>
    <xdr:cxnSp macro="">
      <xdr:nvCxnSpPr>
        <xdr:cNvPr id="17819" name="Rechte verbindingslijn met pijl 17818"/>
        <xdr:cNvCxnSpPr/>
      </xdr:nvCxnSpPr>
      <xdr:spPr>
        <a:xfrm flipV="1">
          <a:off x="6257342" y="4768995"/>
          <a:ext cx="796311" cy="457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100403</xdr:colOff>
      <xdr:row>30</xdr:row>
      <xdr:rowOff>175505</xdr:rowOff>
    </xdr:from>
    <xdr:to>
      <xdr:col>10</xdr:col>
      <xdr:colOff>787543</xdr:colOff>
      <xdr:row>31</xdr:row>
      <xdr:rowOff>23510</xdr:rowOff>
    </xdr:to>
    <xdr:cxnSp macro="">
      <xdr:nvCxnSpPr>
        <xdr:cNvPr id="17820" name="Rechte verbindingslijn met pijl 17819"/>
        <xdr:cNvCxnSpPr/>
      </xdr:nvCxnSpPr>
      <xdr:spPr>
        <a:xfrm flipV="1">
          <a:off x="7053653" y="5909555"/>
          <a:ext cx="687140" cy="385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100403</xdr:colOff>
      <xdr:row>24</xdr:row>
      <xdr:rowOff>139439</xdr:rowOff>
    </xdr:from>
    <xdr:to>
      <xdr:col>10</xdr:col>
      <xdr:colOff>787543</xdr:colOff>
      <xdr:row>24</xdr:row>
      <xdr:rowOff>177945</xdr:rowOff>
    </xdr:to>
    <xdr:cxnSp macro="">
      <xdr:nvCxnSpPr>
        <xdr:cNvPr id="17821" name="Rechte verbindingslijn met pijl 17820"/>
        <xdr:cNvCxnSpPr/>
      </xdr:nvCxnSpPr>
      <xdr:spPr>
        <a:xfrm flipV="1">
          <a:off x="7053653" y="4730489"/>
          <a:ext cx="687140" cy="385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787543</xdr:colOff>
      <xdr:row>30</xdr:row>
      <xdr:rowOff>158659</xdr:rowOff>
    </xdr:from>
    <xdr:to>
      <xdr:col>11</xdr:col>
      <xdr:colOff>59707</xdr:colOff>
      <xdr:row>30</xdr:row>
      <xdr:rowOff>175505</xdr:rowOff>
    </xdr:to>
    <xdr:cxnSp macro="">
      <xdr:nvCxnSpPr>
        <xdr:cNvPr id="17822" name="Rechte verbindingslijn met pijl 17821"/>
        <xdr:cNvCxnSpPr/>
      </xdr:nvCxnSpPr>
      <xdr:spPr>
        <a:xfrm flipV="1">
          <a:off x="7740793" y="5892709"/>
          <a:ext cx="310389" cy="168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787543</xdr:colOff>
      <xdr:row>24</xdr:row>
      <xdr:rowOff>122593</xdr:rowOff>
    </xdr:from>
    <xdr:to>
      <xdr:col>11</xdr:col>
      <xdr:colOff>59707</xdr:colOff>
      <xdr:row>24</xdr:row>
      <xdr:rowOff>139439</xdr:rowOff>
    </xdr:to>
    <xdr:cxnSp macro="">
      <xdr:nvCxnSpPr>
        <xdr:cNvPr id="17823" name="Rechte verbindingslijn met pijl 17822"/>
        <xdr:cNvCxnSpPr/>
      </xdr:nvCxnSpPr>
      <xdr:spPr>
        <a:xfrm flipV="1">
          <a:off x="7740793" y="4713643"/>
          <a:ext cx="310389" cy="168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59707</xdr:colOff>
      <xdr:row>30</xdr:row>
      <xdr:rowOff>115340</xdr:rowOff>
    </xdr:from>
    <xdr:to>
      <xdr:col>12</xdr:col>
      <xdr:colOff>127622</xdr:colOff>
      <xdr:row>30</xdr:row>
      <xdr:rowOff>158659</xdr:rowOff>
    </xdr:to>
    <xdr:cxnSp macro="">
      <xdr:nvCxnSpPr>
        <xdr:cNvPr id="17824" name="Rechte verbindingslijn met pijl 17823"/>
        <xdr:cNvCxnSpPr/>
      </xdr:nvCxnSpPr>
      <xdr:spPr>
        <a:xfrm flipV="1">
          <a:off x="8051182" y="5849390"/>
          <a:ext cx="772765" cy="4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59707</xdr:colOff>
      <xdr:row>24</xdr:row>
      <xdr:rowOff>79275</xdr:rowOff>
    </xdr:from>
    <xdr:to>
      <xdr:col>12</xdr:col>
      <xdr:colOff>127622</xdr:colOff>
      <xdr:row>24</xdr:row>
      <xdr:rowOff>122593</xdr:rowOff>
    </xdr:to>
    <xdr:cxnSp macro="">
      <xdr:nvCxnSpPr>
        <xdr:cNvPr id="17825" name="Rechte verbindingslijn met pijl 17824"/>
        <xdr:cNvCxnSpPr/>
      </xdr:nvCxnSpPr>
      <xdr:spPr>
        <a:xfrm flipV="1">
          <a:off x="8051182" y="4670325"/>
          <a:ext cx="772765" cy="433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127622</xdr:colOff>
      <xdr:row>30</xdr:row>
      <xdr:rowOff>105714</xdr:rowOff>
    </xdr:from>
    <xdr:to>
      <xdr:col>12</xdr:col>
      <xdr:colOff>294591</xdr:colOff>
      <xdr:row>30</xdr:row>
      <xdr:rowOff>115340</xdr:rowOff>
    </xdr:to>
    <xdr:cxnSp macro="">
      <xdr:nvCxnSpPr>
        <xdr:cNvPr id="17826" name="Rechte verbindingslijn met pijl 17825"/>
        <xdr:cNvCxnSpPr/>
      </xdr:nvCxnSpPr>
      <xdr:spPr>
        <a:xfrm flipV="1">
          <a:off x="8823947" y="5839764"/>
          <a:ext cx="166969" cy="96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127622</xdr:colOff>
      <xdr:row>24</xdr:row>
      <xdr:rowOff>69648</xdr:rowOff>
    </xdr:from>
    <xdr:to>
      <xdr:col>12</xdr:col>
      <xdr:colOff>294591</xdr:colOff>
      <xdr:row>24</xdr:row>
      <xdr:rowOff>79275</xdr:rowOff>
    </xdr:to>
    <xdr:cxnSp macro="">
      <xdr:nvCxnSpPr>
        <xdr:cNvPr id="17827" name="Rechte verbindingslijn met pijl 17826"/>
        <xdr:cNvCxnSpPr/>
      </xdr:nvCxnSpPr>
      <xdr:spPr>
        <a:xfrm flipV="1">
          <a:off x="8823947" y="4660698"/>
          <a:ext cx="166969" cy="96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294591</xdr:colOff>
      <xdr:row>30</xdr:row>
      <xdr:rowOff>57582</xdr:rowOff>
    </xdr:from>
    <xdr:to>
      <xdr:col>13</xdr:col>
      <xdr:colOff>168585</xdr:colOff>
      <xdr:row>30</xdr:row>
      <xdr:rowOff>105714</xdr:rowOff>
    </xdr:to>
    <xdr:cxnSp macro="">
      <xdr:nvCxnSpPr>
        <xdr:cNvPr id="17828" name="Rechte verbindingslijn met pijl 17827"/>
        <xdr:cNvCxnSpPr/>
      </xdr:nvCxnSpPr>
      <xdr:spPr>
        <a:xfrm flipV="1">
          <a:off x="8990916" y="5791632"/>
          <a:ext cx="845544" cy="481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294591</xdr:colOff>
      <xdr:row>24</xdr:row>
      <xdr:rowOff>21517</xdr:rowOff>
    </xdr:from>
    <xdr:to>
      <xdr:col>13</xdr:col>
      <xdr:colOff>168585</xdr:colOff>
      <xdr:row>24</xdr:row>
      <xdr:rowOff>69648</xdr:rowOff>
    </xdr:to>
    <xdr:cxnSp macro="">
      <xdr:nvCxnSpPr>
        <xdr:cNvPr id="17829" name="Rechte verbindingslijn met pijl 17828"/>
        <xdr:cNvCxnSpPr/>
      </xdr:nvCxnSpPr>
      <xdr:spPr>
        <a:xfrm flipV="1">
          <a:off x="8990916" y="4612567"/>
          <a:ext cx="845544" cy="481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168585</xdr:colOff>
      <xdr:row>30</xdr:row>
      <xdr:rowOff>43143</xdr:rowOff>
    </xdr:from>
    <xdr:to>
      <xdr:col>13</xdr:col>
      <xdr:colOff>423319</xdr:colOff>
      <xdr:row>30</xdr:row>
      <xdr:rowOff>57582</xdr:rowOff>
    </xdr:to>
    <xdr:cxnSp macro="">
      <xdr:nvCxnSpPr>
        <xdr:cNvPr id="17830" name="Rechte verbindingslijn met pijl 17829"/>
        <xdr:cNvCxnSpPr/>
      </xdr:nvCxnSpPr>
      <xdr:spPr>
        <a:xfrm flipV="1">
          <a:off x="9836460" y="5777193"/>
          <a:ext cx="254734" cy="144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168585</xdr:colOff>
      <xdr:row>24</xdr:row>
      <xdr:rowOff>7077</xdr:rowOff>
    </xdr:from>
    <xdr:to>
      <xdr:col>13</xdr:col>
      <xdr:colOff>423319</xdr:colOff>
      <xdr:row>24</xdr:row>
      <xdr:rowOff>21517</xdr:rowOff>
    </xdr:to>
    <xdr:cxnSp macro="">
      <xdr:nvCxnSpPr>
        <xdr:cNvPr id="17831" name="Rechte verbindingslijn met pijl 17830"/>
        <xdr:cNvCxnSpPr/>
      </xdr:nvCxnSpPr>
      <xdr:spPr>
        <a:xfrm flipV="1">
          <a:off x="9836460" y="4598127"/>
          <a:ext cx="254734" cy="144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423319</xdr:colOff>
      <xdr:row>30</xdr:row>
      <xdr:rowOff>9451</xdr:rowOff>
    </xdr:from>
    <xdr:to>
      <xdr:col>13</xdr:col>
      <xdr:colOff>1009850</xdr:colOff>
      <xdr:row>30</xdr:row>
      <xdr:rowOff>43143</xdr:rowOff>
    </xdr:to>
    <xdr:cxnSp macro="">
      <xdr:nvCxnSpPr>
        <xdr:cNvPr id="17832" name="Rechte verbindingslijn met pijl 17831"/>
        <xdr:cNvCxnSpPr/>
      </xdr:nvCxnSpPr>
      <xdr:spPr>
        <a:xfrm flipV="1">
          <a:off x="10091194" y="5743501"/>
          <a:ext cx="586531" cy="336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423319</xdr:colOff>
      <xdr:row>23</xdr:row>
      <xdr:rowOff>163885</xdr:rowOff>
    </xdr:from>
    <xdr:to>
      <xdr:col>13</xdr:col>
      <xdr:colOff>1009850</xdr:colOff>
      <xdr:row>24</xdr:row>
      <xdr:rowOff>7077</xdr:rowOff>
    </xdr:to>
    <xdr:cxnSp macro="">
      <xdr:nvCxnSpPr>
        <xdr:cNvPr id="17833" name="Rechte verbindingslijn met pijl 17832"/>
        <xdr:cNvCxnSpPr/>
      </xdr:nvCxnSpPr>
      <xdr:spPr>
        <a:xfrm flipV="1">
          <a:off x="10091194" y="4564435"/>
          <a:ext cx="586531" cy="336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1009850</xdr:colOff>
      <xdr:row>29</xdr:row>
      <xdr:rowOff>180698</xdr:rowOff>
    </xdr:from>
    <xdr:to>
      <xdr:col>14</xdr:col>
      <xdr:colOff>311983</xdr:colOff>
      <xdr:row>30</xdr:row>
      <xdr:rowOff>9451</xdr:rowOff>
    </xdr:to>
    <xdr:cxnSp macro="">
      <xdr:nvCxnSpPr>
        <xdr:cNvPr id="17834" name="Rechte verbindingslijn met pijl 17833"/>
        <xdr:cNvCxnSpPr/>
      </xdr:nvCxnSpPr>
      <xdr:spPr>
        <a:xfrm flipV="1">
          <a:off x="10677725" y="5724248"/>
          <a:ext cx="340358" cy="192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1009850</xdr:colOff>
      <xdr:row>23</xdr:row>
      <xdr:rowOff>144632</xdr:rowOff>
    </xdr:from>
    <xdr:to>
      <xdr:col>14</xdr:col>
      <xdr:colOff>311983</xdr:colOff>
      <xdr:row>23</xdr:row>
      <xdr:rowOff>163885</xdr:rowOff>
    </xdr:to>
    <xdr:cxnSp macro="">
      <xdr:nvCxnSpPr>
        <xdr:cNvPr id="17835" name="Rechte verbindingslijn met pijl 17834"/>
        <xdr:cNvCxnSpPr/>
      </xdr:nvCxnSpPr>
      <xdr:spPr>
        <a:xfrm flipV="1">
          <a:off x="10677725" y="4545182"/>
          <a:ext cx="340358" cy="192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311983</xdr:colOff>
      <xdr:row>29</xdr:row>
      <xdr:rowOff>156632</xdr:rowOff>
    </xdr:from>
    <xdr:to>
      <xdr:col>14</xdr:col>
      <xdr:colOff>720842</xdr:colOff>
      <xdr:row>29</xdr:row>
      <xdr:rowOff>180698</xdr:rowOff>
    </xdr:to>
    <xdr:cxnSp macro="">
      <xdr:nvCxnSpPr>
        <xdr:cNvPr id="17836" name="Rechte verbindingslijn met pijl 17835"/>
        <xdr:cNvCxnSpPr/>
      </xdr:nvCxnSpPr>
      <xdr:spPr>
        <a:xfrm flipV="1">
          <a:off x="11018083" y="5700182"/>
          <a:ext cx="408859" cy="240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311983</xdr:colOff>
      <xdr:row>23</xdr:row>
      <xdr:rowOff>120566</xdr:rowOff>
    </xdr:from>
    <xdr:to>
      <xdr:col>14</xdr:col>
      <xdr:colOff>720842</xdr:colOff>
      <xdr:row>23</xdr:row>
      <xdr:rowOff>144632</xdr:rowOff>
    </xdr:to>
    <xdr:cxnSp macro="">
      <xdr:nvCxnSpPr>
        <xdr:cNvPr id="17837" name="Rechte verbindingslijn met pijl 17836"/>
        <xdr:cNvCxnSpPr/>
      </xdr:nvCxnSpPr>
      <xdr:spPr>
        <a:xfrm flipV="1">
          <a:off x="11018083" y="4521116"/>
          <a:ext cx="408859" cy="240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720842</xdr:colOff>
      <xdr:row>29</xdr:row>
      <xdr:rowOff>96467</xdr:rowOff>
    </xdr:from>
    <xdr:to>
      <xdr:col>15</xdr:col>
      <xdr:colOff>742224</xdr:colOff>
      <xdr:row>29</xdr:row>
      <xdr:rowOff>156632</xdr:rowOff>
    </xdr:to>
    <xdr:cxnSp macro="">
      <xdr:nvCxnSpPr>
        <xdr:cNvPr id="17838" name="Rechte verbindingslijn met pijl 17837"/>
        <xdr:cNvCxnSpPr/>
      </xdr:nvCxnSpPr>
      <xdr:spPr>
        <a:xfrm flipV="1">
          <a:off x="11426942" y="5640017"/>
          <a:ext cx="1059607" cy="601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720842</xdr:colOff>
      <xdr:row>23</xdr:row>
      <xdr:rowOff>60402</xdr:rowOff>
    </xdr:from>
    <xdr:to>
      <xdr:col>15</xdr:col>
      <xdr:colOff>742224</xdr:colOff>
      <xdr:row>23</xdr:row>
      <xdr:rowOff>120566</xdr:rowOff>
    </xdr:to>
    <xdr:cxnSp macro="">
      <xdr:nvCxnSpPr>
        <xdr:cNvPr id="17839" name="Rechte verbindingslijn met pijl 17838"/>
        <xdr:cNvCxnSpPr/>
      </xdr:nvCxnSpPr>
      <xdr:spPr>
        <a:xfrm flipV="1">
          <a:off x="11426942" y="4460952"/>
          <a:ext cx="1059607" cy="601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26</xdr:row>
      <xdr:rowOff>40370</xdr:rowOff>
    </xdr:from>
    <xdr:to>
      <xdr:col>15</xdr:col>
      <xdr:colOff>742224</xdr:colOff>
      <xdr:row>28</xdr:row>
      <xdr:rowOff>133467</xdr:rowOff>
    </xdr:to>
    <xdr:cxnSp macro="">
      <xdr:nvCxnSpPr>
        <xdr:cNvPr id="17840" name="Rechte verbindingslijn met pijl 17839"/>
        <xdr:cNvCxnSpPr/>
      </xdr:nvCxnSpPr>
      <xdr:spPr>
        <a:xfrm flipV="1">
          <a:off x="5080000" y="5012420"/>
          <a:ext cx="7406549" cy="474097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29</xdr:row>
      <xdr:rowOff>12237</xdr:rowOff>
    </xdr:from>
    <xdr:to>
      <xdr:col>17</xdr:col>
      <xdr:colOff>149225</xdr:colOff>
      <xdr:row>29</xdr:row>
      <xdr:rowOff>96467</xdr:rowOff>
    </xdr:to>
    <xdr:cxnSp macro="">
      <xdr:nvCxnSpPr>
        <xdr:cNvPr id="17841" name="Rechte verbindingslijn met pijl 17840"/>
        <xdr:cNvCxnSpPr/>
      </xdr:nvCxnSpPr>
      <xdr:spPr>
        <a:xfrm flipV="1">
          <a:off x="12486549" y="5555787"/>
          <a:ext cx="1483451" cy="842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22</xdr:row>
      <xdr:rowOff>166671</xdr:rowOff>
    </xdr:from>
    <xdr:to>
      <xdr:col>17</xdr:col>
      <xdr:colOff>149225</xdr:colOff>
      <xdr:row>23</xdr:row>
      <xdr:rowOff>60402</xdr:rowOff>
    </xdr:to>
    <xdr:cxnSp macro="">
      <xdr:nvCxnSpPr>
        <xdr:cNvPr id="17842" name="Rechte verbindingslijn met pijl 17841"/>
        <xdr:cNvCxnSpPr/>
      </xdr:nvCxnSpPr>
      <xdr:spPr>
        <a:xfrm flipV="1">
          <a:off x="12486549" y="4376721"/>
          <a:ext cx="1483451" cy="842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25</xdr:row>
      <xdr:rowOff>26311</xdr:rowOff>
    </xdr:from>
    <xdr:to>
      <xdr:col>17</xdr:col>
      <xdr:colOff>149225</xdr:colOff>
      <xdr:row>26</xdr:row>
      <xdr:rowOff>40370</xdr:rowOff>
    </xdr:to>
    <xdr:cxnSp macro="">
      <xdr:nvCxnSpPr>
        <xdr:cNvPr id="17843" name="Rechte verbindingslijn met pijl 17842"/>
        <xdr:cNvCxnSpPr/>
      </xdr:nvCxnSpPr>
      <xdr:spPr>
        <a:xfrm flipV="1">
          <a:off x="12486549" y="4807861"/>
          <a:ext cx="1483451" cy="204559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9</xdr:row>
      <xdr:rowOff>31383</xdr:rowOff>
    </xdr:from>
    <xdr:to>
      <xdr:col>7</xdr:col>
      <xdr:colOff>565150</xdr:colOff>
      <xdr:row>33</xdr:row>
      <xdr:rowOff>44464</xdr:rowOff>
    </xdr:to>
    <xdr:sp macro="" textlink="">
      <xdr:nvSpPr>
        <xdr:cNvPr id="2342" name="Rechthoek 2341"/>
        <xdr:cNvSpPr/>
      </xdr:nvSpPr>
      <xdr:spPr>
        <a:xfrm>
          <a:off x="5080000" y="176493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566091</xdr:colOff>
      <xdr:row>6</xdr:row>
      <xdr:rowOff>52599</xdr:rowOff>
    </xdr:from>
    <xdr:to>
      <xdr:col>8</xdr:col>
      <xdr:colOff>174051</xdr:colOff>
      <xdr:row>9</xdr:row>
      <xdr:rowOff>49588</xdr:rowOff>
    </xdr:to>
    <xdr:sp macro="" textlink="">
      <xdr:nvSpPr>
        <xdr:cNvPr id="2343" name="Tekstvak 2342"/>
        <xdr:cNvSpPr txBox="1"/>
      </xdr:nvSpPr>
      <xdr:spPr>
        <a:xfrm rot="-3000000">
          <a:off x="4943576" y="1390114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31766</xdr:colOff>
      <xdr:row>9</xdr:row>
      <xdr:rowOff>15173</xdr:rowOff>
    </xdr:from>
    <xdr:to>
      <xdr:col>8</xdr:col>
      <xdr:colOff>69866</xdr:colOff>
      <xdr:row>33</xdr:row>
      <xdr:rowOff>28254</xdr:rowOff>
    </xdr:to>
    <xdr:sp macro="" textlink="">
      <xdr:nvSpPr>
        <xdr:cNvPr id="2344" name="Rechthoek 2343"/>
        <xdr:cNvSpPr/>
      </xdr:nvSpPr>
      <xdr:spPr>
        <a:xfrm>
          <a:off x="5194316" y="174872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574655</xdr:colOff>
      <xdr:row>7</xdr:row>
      <xdr:rowOff>72677</xdr:rowOff>
    </xdr:from>
    <xdr:to>
      <xdr:col>8</xdr:col>
      <xdr:colOff>182615</xdr:colOff>
      <xdr:row>8</xdr:row>
      <xdr:rowOff>174565</xdr:rowOff>
    </xdr:to>
    <xdr:sp macro="" textlink="">
      <xdr:nvSpPr>
        <xdr:cNvPr id="2345" name="Tekstvak 2344"/>
        <xdr:cNvSpPr txBox="1"/>
      </xdr:nvSpPr>
      <xdr:spPr>
        <a:xfrm rot="-3000000">
          <a:off x="5090191" y="1462641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247697</xdr:colOff>
      <xdr:row>8</xdr:row>
      <xdr:rowOff>187148</xdr:rowOff>
    </xdr:from>
    <xdr:to>
      <xdr:col>8</xdr:col>
      <xdr:colOff>285797</xdr:colOff>
      <xdr:row>33</xdr:row>
      <xdr:rowOff>9729</xdr:rowOff>
    </xdr:to>
    <xdr:sp macro="" textlink="">
      <xdr:nvSpPr>
        <xdr:cNvPr id="2346" name="Rechthoek 2345"/>
        <xdr:cNvSpPr/>
      </xdr:nvSpPr>
      <xdr:spPr>
        <a:xfrm>
          <a:off x="5410247" y="173019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213723</xdr:colOff>
      <xdr:row>6</xdr:row>
      <xdr:rowOff>174446</xdr:rowOff>
    </xdr:from>
    <xdr:to>
      <xdr:col>8</xdr:col>
      <xdr:colOff>431283</xdr:colOff>
      <xdr:row>8</xdr:row>
      <xdr:rowOff>171306</xdr:rowOff>
    </xdr:to>
    <xdr:sp macro="" textlink="">
      <xdr:nvSpPr>
        <xdr:cNvPr id="2347" name="Tekstvak 2346"/>
        <xdr:cNvSpPr txBox="1"/>
      </xdr:nvSpPr>
      <xdr:spPr>
        <a:xfrm rot="-3000000">
          <a:off x="5296123" y="141664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565243</xdr:colOff>
      <xdr:row>8</xdr:row>
      <xdr:rowOff>159360</xdr:rowOff>
    </xdr:from>
    <xdr:to>
      <xdr:col>8</xdr:col>
      <xdr:colOff>603343</xdr:colOff>
      <xdr:row>32</xdr:row>
      <xdr:rowOff>172441</xdr:rowOff>
    </xdr:to>
    <xdr:sp macro="" textlink="">
      <xdr:nvSpPr>
        <xdr:cNvPr id="2348" name="Rechthoek 2347"/>
        <xdr:cNvSpPr/>
      </xdr:nvSpPr>
      <xdr:spPr>
        <a:xfrm>
          <a:off x="5727793" y="170241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624767</xdr:colOff>
      <xdr:row>5</xdr:row>
      <xdr:rowOff>136651</xdr:rowOff>
    </xdr:from>
    <xdr:to>
      <xdr:col>8</xdr:col>
      <xdr:colOff>842327</xdr:colOff>
      <xdr:row>8</xdr:row>
      <xdr:rowOff>187116</xdr:rowOff>
    </xdr:to>
    <xdr:sp macro="" textlink="">
      <xdr:nvSpPr>
        <xdr:cNvPr id="2349" name="Tekstvak 2348"/>
        <xdr:cNvSpPr txBox="1"/>
      </xdr:nvSpPr>
      <xdr:spPr>
        <a:xfrm rot="-3000000">
          <a:off x="5585114" y="131040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197059</xdr:colOff>
      <xdr:row>8</xdr:row>
      <xdr:rowOff>89891</xdr:rowOff>
    </xdr:from>
    <xdr:to>
      <xdr:col>9</xdr:col>
      <xdr:colOff>235159</xdr:colOff>
      <xdr:row>32</xdr:row>
      <xdr:rowOff>102972</xdr:rowOff>
    </xdr:to>
    <xdr:sp macro="" textlink="">
      <xdr:nvSpPr>
        <xdr:cNvPr id="2350" name="Rechthoek 2349"/>
        <xdr:cNvSpPr/>
      </xdr:nvSpPr>
      <xdr:spPr>
        <a:xfrm>
          <a:off x="6540709" y="163294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241528</xdr:colOff>
      <xdr:row>5</xdr:row>
      <xdr:rowOff>99467</xdr:rowOff>
    </xdr:from>
    <xdr:to>
      <xdr:col>9</xdr:col>
      <xdr:colOff>459088</xdr:colOff>
      <xdr:row>8</xdr:row>
      <xdr:rowOff>110627</xdr:rowOff>
    </xdr:to>
    <xdr:sp macro="" textlink="">
      <xdr:nvSpPr>
        <xdr:cNvPr id="2351" name="Tekstvak 2350"/>
        <xdr:cNvSpPr txBox="1"/>
      </xdr:nvSpPr>
      <xdr:spPr>
        <a:xfrm rot="-3000000">
          <a:off x="6402628" y="1253567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9</xdr:col>
      <xdr:colOff>395207</xdr:colOff>
      <xdr:row>8</xdr:row>
      <xdr:rowOff>73681</xdr:rowOff>
    </xdr:from>
    <xdr:to>
      <xdr:col>9</xdr:col>
      <xdr:colOff>433307</xdr:colOff>
      <xdr:row>32</xdr:row>
      <xdr:rowOff>86762</xdr:rowOff>
    </xdr:to>
    <xdr:sp macro="" textlink="">
      <xdr:nvSpPr>
        <xdr:cNvPr id="2352" name="Rechthoek 2351"/>
        <xdr:cNvSpPr/>
      </xdr:nvSpPr>
      <xdr:spPr>
        <a:xfrm>
          <a:off x="6738857" y="161673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464588</xdr:colOff>
      <xdr:row>5</xdr:row>
      <xdr:rowOff>29834</xdr:rowOff>
    </xdr:from>
    <xdr:to>
      <xdr:col>10</xdr:col>
      <xdr:colOff>72548</xdr:colOff>
      <xdr:row>8</xdr:row>
      <xdr:rowOff>106034</xdr:rowOff>
    </xdr:to>
    <xdr:sp macro="" textlink="">
      <xdr:nvSpPr>
        <xdr:cNvPr id="2353" name="Tekstvak 2352"/>
        <xdr:cNvSpPr txBox="1"/>
      </xdr:nvSpPr>
      <xdr:spPr>
        <a:xfrm rot="-3000000">
          <a:off x="6593168" y="121645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10</xdr:col>
      <xdr:colOff>68858</xdr:colOff>
      <xdr:row>8</xdr:row>
      <xdr:rowOff>50525</xdr:rowOff>
    </xdr:from>
    <xdr:to>
      <xdr:col>10</xdr:col>
      <xdr:colOff>106958</xdr:colOff>
      <xdr:row>32</xdr:row>
      <xdr:rowOff>63605</xdr:rowOff>
    </xdr:to>
    <xdr:sp macro="" textlink="">
      <xdr:nvSpPr>
        <xdr:cNvPr id="2354" name="Rechthoek 2353"/>
        <xdr:cNvSpPr/>
      </xdr:nvSpPr>
      <xdr:spPr>
        <a:xfrm>
          <a:off x="7022108" y="1593575"/>
          <a:ext cx="38100" cy="45850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79558</xdr:colOff>
      <xdr:row>5</xdr:row>
      <xdr:rowOff>132520</xdr:rowOff>
    </xdr:from>
    <xdr:to>
      <xdr:col>10</xdr:col>
      <xdr:colOff>297118</xdr:colOff>
      <xdr:row>8</xdr:row>
      <xdr:rowOff>55514</xdr:rowOff>
    </xdr:to>
    <xdr:sp macro="" textlink="">
      <xdr:nvSpPr>
        <xdr:cNvPr id="2355" name="Tekstvak 2354"/>
        <xdr:cNvSpPr txBox="1"/>
      </xdr:nvSpPr>
      <xdr:spPr>
        <a:xfrm rot="-3000000">
          <a:off x="6894341" y="1242537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10</xdr:col>
      <xdr:colOff>438480</xdr:colOff>
      <xdr:row>8</xdr:row>
      <xdr:rowOff>20421</xdr:rowOff>
    </xdr:from>
    <xdr:to>
      <xdr:col>10</xdr:col>
      <xdr:colOff>476580</xdr:colOff>
      <xdr:row>32</xdr:row>
      <xdr:rowOff>33502</xdr:rowOff>
    </xdr:to>
    <xdr:sp macro="" textlink="">
      <xdr:nvSpPr>
        <xdr:cNvPr id="2356" name="Rechthoek 2355"/>
        <xdr:cNvSpPr/>
      </xdr:nvSpPr>
      <xdr:spPr>
        <a:xfrm>
          <a:off x="7391730" y="156347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486782</xdr:colOff>
      <xdr:row>5</xdr:row>
      <xdr:rowOff>21780</xdr:rowOff>
    </xdr:from>
    <xdr:to>
      <xdr:col>10</xdr:col>
      <xdr:colOff>704342</xdr:colOff>
      <xdr:row>8</xdr:row>
      <xdr:rowOff>42943</xdr:rowOff>
    </xdr:to>
    <xdr:sp macro="" textlink="">
      <xdr:nvSpPr>
        <xdr:cNvPr id="2357" name="Tekstvak 2356"/>
        <xdr:cNvSpPr txBox="1"/>
      </xdr:nvSpPr>
      <xdr:spPr>
        <a:xfrm rot="-3000000">
          <a:off x="7252480" y="1180882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10</xdr:col>
      <xdr:colOff>999901</xdr:colOff>
      <xdr:row>7</xdr:row>
      <xdr:rowOff>164608</xdr:rowOff>
    </xdr:from>
    <xdr:to>
      <xdr:col>10</xdr:col>
      <xdr:colOff>1038001</xdr:colOff>
      <xdr:row>31</xdr:row>
      <xdr:rowOff>177689</xdr:rowOff>
    </xdr:to>
    <xdr:sp macro="" textlink="">
      <xdr:nvSpPr>
        <xdr:cNvPr id="2358" name="Rechthoek 2357"/>
        <xdr:cNvSpPr/>
      </xdr:nvSpPr>
      <xdr:spPr>
        <a:xfrm>
          <a:off x="7953151" y="151715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31057</xdr:colOff>
      <xdr:row>4</xdr:row>
      <xdr:rowOff>120761</xdr:rowOff>
    </xdr:from>
    <xdr:to>
      <xdr:col>11</xdr:col>
      <xdr:colOff>248617</xdr:colOff>
      <xdr:row>8</xdr:row>
      <xdr:rowOff>6461</xdr:rowOff>
    </xdr:to>
    <xdr:sp macro="" textlink="">
      <xdr:nvSpPr>
        <xdr:cNvPr id="2359" name="Tekstvak 2358"/>
        <xdr:cNvSpPr txBox="1"/>
      </xdr:nvSpPr>
      <xdr:spPr>
        <a:xfrm rot="-3000000">
          <a:off x="7807462" y="1116881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12</xdr:col>
      <xdr:colOff>97672</xdr:colOff>
      <xdr:row>7</xdr:row>
      <xdr:rowOff>102086</xdr:rowOff>
    </xdr:from>
    <xdr:to>
      <xdr:col>12</xdr:col>
      <xdr:colOff>135772</xdr:colOff>
      <xdr:row>31</xdr:row>
      <xdr:rowOff>115167</xdr:rowOff>
    </xdr:to>
    <xdr:sp macro="" textlink="">
      <xdr:nvSpPr>
        <xdr:cNvPr id="2360" name="Rechthoek 2359"/>
        <xdr:cNvSpPr/>
      </xdr:nvSpPr>
      <xdr:spPr>
        <a:xfrm>
          <a:off x="8698747" y="1454636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288196</xdr:colOff>
      <xdr:row>2</xdr:row>
      <xdr:rowOff>188972</xdr:rowOff>
    </xdr:from>
    <xdr:to>
      <xdr:col>12</xdr:col>
      <xdr:colOff>505756</xdr:colOff>
      <xdr:row>8</xdr:row>
      <xdr:rowOff>429</xdr:rowOff>
    </xdr:to>
    <xdr:sp macro="" textlink="">
      <xdr:nvSpPr>
        <xdr:cNvPr id="2361" name="Tekstvak 2360"/>
        <xdr:cNvSpPr txBox="1"/>
      </xdr:nvSpPr>
      <xdr:spPr>
        <a:xfrm rot="-3000000">
          <a:off x="8516060" y="95270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12</xdr:col>
      <xdr:colOff>180234</xdr:colOff>
      <xdr:row>7</xdr:row>
      <xdr:rowOff>95139</xdr:rowOff>
    </xdr:from>
    <xdr:to>
      <xdr:col>12</xdr:col>
      <xdr:colOff>218334</xdr:colOff>
      <xdr:row>31</xdr:row>
      <xdr:rowOff>108220</xdr:rowOff>
    </xdr:to>
    <xdr:sp macro="" textlink="">
      <xdr:nvSpPr>
        <xdr:cNvPr id="2362" name="Rechthoek 2361"/>
        <xdr:cNvSpPr/>
      </xdr:nvSpPr>
      <xdr:spPr>
        <a:xfrm>
          <a:off x="8781309" y="1447689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206922</xdr:colOff>
      <xdr:row>4</xdr:row>
      <xdr:rowOff>142846</xdr:rowOff>
    </xdr:from>
    <xdr:to>
      <xdr:col>12</xdr:col>
      <xdr:colOff>424482</xdr:colOff>
      <xdr:row>7</xdr:row>
      <xdr:rowOff>107583</xdr:rowOff>
    </xdr:to>
    <xdr:sp macro="" textlink="">
      <xdr:nvSpPr>
        <xdr:cNvPr id="2363" name="Tekstvak 2362"/>
        <xdr:cNvSpPr txBox="1"/>
      </xdr:nvSpPr>
      <xdr:spPr>
        <a:xfrm rot="-3000000">
          <a:off x="8648658" y="1083235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974097</xdr:colOff>
      <xdr:row>7</xdr:row>
      <xdr:rowOff>27985</xdr:rowOff>
    </xdr:from>
    <xdr:to>
      <xdr:col>12</xdr:col>
      <xdr:colOff>1012197</xdr:colOff>
      <xdr:row>31</xdr:row>
      <xdr:rowOff>41066</xdr:rowOff>
    </xdr:to>
    <xdr:sp macro="" textlink="">
      <xdr:nvSpPr>
        <xdr:cNvPr id="2364" name="Rechthoek 2363"/>
        <xdr:cNvSpPr/>
      </xdr:nvSpPr>
      <xdr:spPr>
        <a:xfrm>
          <a:off x="9575172" y="1380535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1025566</xdr:colOff>
      <xdr:row>4</xdr:row>
      <xdr:rowOff>22551</xdr:rowOff>
    </xdr:from>
    <xdr:to>
      <xdr:col>13</xdr:col>
      <xdr:colOff>204901</xdr:colOff>
      <xdr:row>7</xdr:row>
      <xdr:rowOff>51985</xdr:rowOff>
    </xdr:to>
    <xdr:sp macro="" textlink="">
      <xdr:nvSpPr>
        <xdr:cNvPr id="2365" name="Tekstvak 2364"/>
        <xdr:cNvSpPr txBox="1"/>
      </xdr:nvSpPr>
      <xdr:spPr>
        <a:xfrm rot="-3000000">
          <a:off x="9434954" y="995288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564612</xdr:colOff>
      <xdr:row>6</xdr:row>
      <xdr:rowOff>174487</xdr:rowOff>
    </xdr:from>
    <xdr:to>
      <xdr:col>13</xdr:col>
      <xdr:colOff>602712</xdr:colOff>
      <xdr:row>30</xdr:row>
      <xdr:rowOff>187568</xdr:rowOff>
    </xdr:to>
    <xdr:sp macro="" textlink="">
      <xdr:nvSpPr>
        <xdr:cNvPr id="2366" name="Rechthoek 2365"/>
        <xdr:cNvSpPr/>
      </xdr:nvSpPr>
      <xdr:spPr>
        <a:xfrm>
          <a:off x="10203912" y="1336537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578407</xdr:colOff>
      <xdr:row>4</xdr:row>
      <xdr:rowOff>59346</xdr:rowOff>
    </xdr:from>
    <xdr:to>
      <xdr:col>13</xdr:col>
      <xdr:colOff>795967</xdr:colOff>
      <xdr:row>6</xdr:row>
      <xdr:rowOff>180919</xdr:rowOff>
    </xdr:to>
    <xdr:sp macro="" textlink="">
      <xdr:nvSpPr>
        <xdr:cNvPr id="2367" name="Tekstvak 2366"/>
        <xdr:cNvSpPr txBox="1"/>
      </xdr:nvSpPr>
      <xdr:spPr>
        <a:xfrm rot="-3000000">
          <a:off x="10075200" y="98290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807217</xdr:colOff>
      <xdr:row>6</xdr:row>
      <xdr:rowOff>158278</xdr:rowOff>
    </xdr:from>
    <xdr:to>
      <xdr:col>13</xdr:col>
      <xdr:colOff>845317</xdr:colOff>
      <xdr:row>30</xdr:row>
      <xdr:rowOff>171359</xdr:rowOff>
    </xdr:to>
    <xdr:sp macro="" textlink="">
      <xdr:nvSpPr>
        <xdr:cNvPr id="2368" name="Rechthoek 2367"/>
        <xdr:cNvSpPr/>
      </xdr:nvSpPr>
      <xdr:spPr>
        <a:xfrm>
          <a:off x="10446517" y="132032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821011</xdr:colOff>
      <xdr:row>4</xdr:row>
      <xdr:rowOff>43137</xdr:rowOff>
    </xdr:from>
    <xdr:to>
      <xdr:col>14</xdr:col>
      <xdr:colOff>346</xdr:colOff>
      <xdr:row>6</xdr:row>
      <xdr:rowOff>164710</xdr:rowOff>
    </xdr:to>
    <xdr:sp macro="" textlink="">
      <xdr:nvSpPr>
        <xdr:cNvPr id="2369" name="Tekstvak 2368"/>
        <xdr:cNvSpPr txBox="1"/>
      </xdr:nvSpPr>
      <xdr:spPr>
        <a:xfrm rot="-3000000">
          <a:off x="10317804" y="96669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13</xdr:col>
      <xdr:colOff>1009176</xdr:colOff>
      <xdr:row>6</xdr:row>
      <xdr:rowOff>144384</xdr:rowOff>
    </xdr:from>
    <xdr:to>
      <xdr:col>14</xdr:col>
      <xdr:colOff>9051</xdr:colOff>
      <xdr:row>30</xdr:row>
      <xdr:rowOff>157465</xdr:rowOff>
    </xdr:to>
    <xdr:sp macro="" textlink="">
      <xdr:nvSpPr>
        <xdr:cNvPr id="2370" name="Rechthoek 2369"/>
        <xdr:cNvSpPr/>
      </xdr:nvSpPr>
      <xdr:spPr>
        <a:xfrm>
          <a:off x="10648476" y="1306434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1022970</xdr:colOff>
      <xdr:row>4</xdr:row>
      <xdr:rowOff>29243</xdr:rowOff>
    </xdr:from>
    <xdr:to>
      <xdr:col>14</xdr:col>
      <xdr:colOff>202305</xdr:colOff>
      <xdr:row>6</xdr:row>
      <xdr:rowOff>150816</xdr:rowOff>
    </xdr:to>
    <xdr:sp macro="" textlink="">
      <xdr:nvSpPr>
        <xdr:cNvPr id="2371" name="Tekstvak 2370"/>
        <xdr:cNvSpPr txBox="1"/>
      </xdr:nvSpPr>
      <xdr:spPr>
        <a:xfrm rot="-3000000">
          <a:off x="10519763" y="95280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318981</xdr:colOff>
      <xdr:row>6</xdr:row>
      <xdr:rowOff>121227</xdr:rowOff>
    </xdr:from>
    <xdr:to>
      <xdr:col>14</xdr:col>
      <xdr:colOff>357081</xdr:colOff>
      <xdr:row>30</xdr:row>
      <xdr:rowOff>134308</xdr:rowOff>
    </xdr:to>
    <xdr:sp macro="" textlink="">
      <xdr:nvSpPr>
        <xdr:cNvPr id="2372" name="Rechthoek 2371"/>
        <xdr:cNvSpPr/>
      </xdr:nvSpPr>
      <xdr:spPr>
        <a:xfrm>
          <a:off x="10996506" y="1283277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264009</xdr:colOff>
      <xdr:row>4</xdr:row>
      <xdr:rowOff>153556</xdr:rowOff>
    </xdr:from>
    <xdr:to>
      <xdr:col>14</xdr:col>
      <xdr:colOff>481569</xdr:colOff>
      <xdr:row>6</xdr:row>
      <xdr:rowOff>95593</xdr:rowOff>
    </xdr:to>
    <xdr:sp macro="" textlink="">
      <xdr:nvSpPr>
        <xdr:cNvPr id="2373" name="Tekstvak 2372"/>
        <xdr:cNvSpPr txBox="1"/>
      </xdr:nvSpPr>
      <xdr:spPr>
        <a:xfrm rot="-3000000">
          <a:off x="10888795" y="98734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470132</xdr:colOff>
      <xdr:row>6</xdr:row>
      <xdr:rowOff>111965</xdr:rowOff>
    </xdr:from>
    <xdr:to>
      <xdr:col>14</xdr:col>
      <xdr:colOff>508232</xdr:colOff>
      <xdr:row>30</xdr:row>
      <xdr:rowOff>125046</xdr:rowOff>
    </xdr:to>
    <xdr:sp macro="" textlink="">
      <xdr:nvSpPr>
        <xdr:cNvPr id="2374" name="Rechthoek 2373"/>
        <xdr:cNvSpPr/>
      </xdr:nvSpPr>
      <xdr:spPr>
        <a:xfrm>
          <a:off x="11147657" y="1274015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400130</xdr:colOff>
      <xdr:row>4</xdr:row>
      <xdr:rowOff>176526</xdr:rowOff>
    </xdr:from>
    <xdr:to>
      <xdr:col>14</xdr:col>
      <xdr:colOff>617690</xdr:colOff>
      <xdr:row>6</xdr:row>
      <xdr:rowOff>79322</xdr:rowOff>
    </xdr:to>
    <xdr:sp macro="" textlink="">
      <xdr:nvSpPr>
        <xdr:cNvPr id="2375" name="Tekstvak 2374"/>
        <xdr:cNvSpPr txBox="1"/>
      </xdr:nvSpPr>
      <xdr:spPr>
        <a:xfrm rot="-3000000">
          <a:off x="11044537" y="99069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971854</xdr:colOff>
      <xdr:row>6</xdr:row>
      <xdr:rowOff>77230</xdr:rowOff>
    </xdr:from>
    <xdr:to>
      <xdr:col>14</xdr:col>
      <xdr:colOff>1009954</xdr:colOff>
      <xdr:row>30</xdr:row>
      <xdr:rowOff>90311</xdr:rowOff>
    </xdr:to>
    <xdr:sp macro="" textlink="">
      <xdr:nvSpPr>
        <xdr:cNvPr id="2376" name="Rechthoek 2375"/>
        <xdr:cNvSpPr/>
      </xdr:nvSpPr>
      <xdr:spPr>
        <a:xfrm>
          <a:off x="11649379" y="123928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901852</xdr:colOff>
      <xdr:row>4</xdr:row>
      <xdr:rowOff>141791</xdr:rowOff>
    </xdr:from>
    <xdr:to>
      <xdr:col>15</xdr:col>
      <xdr:colOff>81187</xdr:colOff>
      <xdr:row>6</xdr:row>
      <xdr:rowOff>44587</xdr:rowOff>
    </xdr:to>
    <xdr:sp macro="" textlink="">
      <xdr:nvSpPr>
        <xdr:cNvPr id="2377" name="Tekstvak 2376"/>
        <xdr:cNvSpPr txBox="1"/>
      </xdr:nvSpPr>
      <xdr:spPr>
        <a:xfrm rot="-3000000">
          <a:off x="11546259" y="95595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32703</xdr:colOff>
      <xdr:row>6</xdr:row>
      <xdr:rowOff>70283</xdr:rowOff>
    </xdr:from>
    <xdr:to>
      <xdr:col>15</xdr:col>
      <xdr:colOff>70803</xdr:colOff>
      <xdr:row>30</xdr:row>
      <xdr:rowOff>83364</xdr:rowOff>
    </xdr:to>
    <xdr:sp macro="" textlink="">
      <xdr:nvSpPr>
        <xdr:cNvPr id="2378" name="Rechthoek 2377"/>
        <xdr:cNvSpPr/>
      </xdr:nvSpPr>
      <xdr:spPr>
        <a:xfrm>
          <a:off x="11748453" y="123233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999403</xdr:colOff>
      <xdr:row>4</xdr:row>
      <xdr:rowOff>138110</xdr:rowOff>
    </xdr:from>
    <xdr:to>
      <xdr:col>15</xdr:col>
      <xdr:colOff>178738</xdr:colOff>
      <xdr:row>6</xdr:row>
      <xdr:rowOff>36930</xdr:rowOff>
    </xdr:to>
    <xdr:sp macro="" textlink="">
      <xdr:nvSpPr>
        <xdr:cNvPr id="2379" name="Tekstvak 2378"/>
        <xdr:cNvSpPr txBox="1"/>
      </xdr:nvSpPr>
      <xdr:spPr>
        <a:xfrm rot="-3000000">
          <a:off x="11645798" y="950290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491238</xdr:colOff>
      <xdr:row>6</xdr:row>
      <xdr:rowOff>37864</xdr:rowOff>
    </xdr:from>
    <xdr:to>
      <xdr:col>15</xdr:col>
      <xdr:colOff>529338</xdr:colOff>
      <xdr:row>30</xdr:row>
      <xdr:rowOff>50945</xdr:rowOff>
    </xdr:to>
    <xdr:sp macro="" textlink="">
      <xdr:nvSpPr>
        <xdr:cNvPr id="2380" name="Rechthoek 2379"/>
        <xdr:cNvSpPr/>
      </xdr:nvSpPr>
      <xdr:spPr>
        <a:xfrm>
          <a:off x="12206988" y="1199914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421237</xdr:colOff>
      <xdr:row>4</xdr:row>
      <xdr:rowOff>102425</xdr:rowOff>
    </xdr:from>
    <xdr:to>
      <xdr:col>15</xdr:col>
      <xdr:colOff>638797</xdr:colOff>
      <xdr:row>6</xdr:row>
      <xdr:rowOff>5221</xdr:rowOff>
    </xdr:to>
    <xdr:sp macro="" textlink="">
      <xdr:nvSpPr>
        <xdr:cNvPr id="2381" name="Tekstvak 2380"/>
        <xdr:cNvSpPr txBox="1"/>
      </xdr:nvSpPr>
      <xdr:spPr>
        <a:xfrm rot="-3000000">
          <a:off x="12103869" y="9165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15</xdr:col>
      <xdr:colOff>675415</xdr:colOff>
      <xdr:row>6</xdr:row>
      <xdr:rowOff>26286</xdr:rowOff>
    </xdr:from>
    <xdr:to>
      <xdr:col>15</xdr:col>
      <xdr:colOff>713515</xdr:colOff>
      <xdr:row>30</xdr:row>
      <xdr:rowOff>39367</xdr:rowOff>
    </xdr:to>
    <xdr:sp macro="" textlink="">
      <xdr:nvSpPr>
        <xdr:cNvPr id="2382" name="Rechthoek 2381"/>
        <xdr:cNvSpPr/>
      </xdr:nvSpPr>
      <xdr:spPr>
        <a:xfrm>
          <a:off x="12391165" y="1188336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634442</xdr:colOff>
      <xdr:row>4</xdr:row>
      <xdr:rowOff>28594</xdr:rowOff>
    </xdr:from>
    <xdr:to>
      <xdr:col>15</xdr:col>
      <xdr:colOff>852002</xdr:colOff>
      <xdr:row>6</xdr:row>
      <xdr:rowOff>7180</xdr:rowOff>
    </xdr:to>
    <xdr:sp macro="" textlink="">
      <xdr:nvSpPr>
        <xdr:cNvPr id="2383" name="Tekstvak 2382"/>
        <xdr:cNvSpPr txBox="1"/>
      </xdr:nvSpPr>
      <xdr:spPr>
        <a:xfrm rot="-3000000">
          <a:off x="12279179" y="88065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16</xdr:col>
      <xdr:colOff>44918</xdr:colOff>
      <xdr:row>5</xdr:row>
      <xdr:rowOff>188998</xdr:rowOff>
    </xdr:from>
    <xdr:to>
      <xdr:col>16</xdr:col>
      <xdr:colOff>83018</xdr:colOff>
      <xdr:row>30</xdr:row>
      <xdr:rowOff>11579</xdr:rowOff>
    </xdr:to>
    <xdr:sp macro="" textlink="">
      <xdr:nvSpPr>
        <xdr:cNvPr id="2384" name="Rechthoek 2383"/>
        <xdr:cNvSpPr/>
      </xdr:nvSpPr>
      <xdr:spPr>
        <a:xfrm>
          <a:off x="12798893" y="116054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3945</xdr:colOff>
      <xdr:row>4</xdr:row>
      <xdr:rowOff>806</xdr:rowOff>
    </xdr:from>
    <xdr:to>
      <xdr:col>16</xdr:col>
      <xdr:colOff>221505</xdr:colOff>
      <xdr:row>5</xdr:row>
      <xdr:rowOff>169892</xdr:rowOff>
    </xdr:to>
    <xdr:sp macro="" textlink="">
      <xdr:nvSpPr>
        <xdr:cNvPr id="2385" name="Tekstvak 2384"/>
        <xdr:cNvSpPr txBox="1"/>
      </xdr:nvSpPr>
      <xdr:spPr>
        <a:xfrm rot="-3000000">
          <a:off x="12686907" y="8528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16</xdr:col>
      <xdr:colOff>517426</xdr:colOff>
      <xdr:row>5</xdr:row>
      <xdr:rowOff>156579</xdr:rowOff>
    </xdr:from>
    <xdr:to>
      <xdr:col>16</xdr:col>
      <xdr:colOff>555526</xdr:colOff>
      <xdr:row>29</xdr:row>
      <xdr:rowOff>169660</xdr:rowOff>
    </xdr:to>
    <xdr:sp macro="" textlink="">
      <xdr:nvSpPr>
        <xdr:cNvPr id="2386" name="Rechthoek 2385"/>
        <xdr:cNvSpPr/>
      </xdr:nvSpPr>
      <xdr:spPr>
        <a:xfrm>
          <a:off x="13271401" y="1128129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476452</xdr:colOff>
      <xdr:row>3</xdr:row>
      <xdr:rowOff>158887</xdr:rowOff>
    </xdr:from>
    <xdr:to>
      <xdr:col>16</xdr:col>
      <xdr:colOff>694012</xdr:colOff>
      <xdr:row>5</xdr:row>
      <xdr:rowOff>137473</xdr:rowOff>
    </xdr:to>
    <xdr:sp macro="" textlink="">
      <xdr:nvSpPr>
        <xdr:cNvPr id="2387" name="Tekstvak 2386"/>
        <xdr:cNvSpPr txBox="1"/>
      </xdr:nvSpPr>
      <xdr:spPr>
        <a:xfrm rot="-3000000">
          <a:off x="13159414" y="82045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17</xdr:col>
      <xdr:colOff>177800</xdr:colOff>
      <xdr:row>5</xdr:row>
      <xdr:rowOff>107950</xdr:rowOff>
    </xdr:from>
    <xdr:to>
      <xdr:col>17</xdr:col>
      <xdr:colOff>215900</xdr:colOff>
      <xdr:row>29</xdr:row>
      <xdr:rowOff>121031</xdr:rowOff>
    </xdr:to>
    <xdr:sp macro="" textlink="">
      <xdr:nvSpPr>
        <xdr:cNvPr id="2388" name="Rechthoek 2387"/>
        <xdr:cNvSpPr/>
      </xdr:nvSpPr>
      <xdr:spPr>
        <a:xfrm>
          <a:off x="13970000" y="107950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130148</xdr:colOff>
      <xdr:row>3</xdr:row>
      <xdr:rowOff>124583</xdr:rowOff>
    </xdr:from>
    <xdr:to>
      <xdr:col>17</xdr:col>
      <xdr:colOff>347708</xdr:colOff>
      <xdr:row>5</xdr:row>
      <xdr:rowOff>85728</xdr:rowOff>
    </xdr:to>
    <xdr:sp macro="" textlink="">
      <xdr:nvSpPr>
        <xdr:cNvPr id="2389" name="Tekstvak 2388"/>
        <xdr:cNvSpPr txBox="1"/>
      </xdr:nvSpPr>
      <xdr:spPr>
        <a:xfrm rot="-3000000">
          <a:off x="13860055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31766</xdr:colOff>
      <xdr:row>21</xdr:row>
      <xdr:rowOff>26300</xdr:rowOff>
    </xdr:from>
    <xdr:to>
      <xdr:col>12</xdr:col>
      <xdr:colOff>974097</xdr:colOff>
      <xdr:row>23</xdr:row>
      <xdr:rowOff>29698</xdr:rowOff>
    </xdr:to>
    <xdr:cxnSp macro="">
      <xdr:nvCxnSpPr>
        <xdr:cNvPr id="2390" name="Rechte verbindingslijn met pijl 2389"/>
        <xdr:cNvCxnSpPr/>
      </xdr:nvCxnSpPr>
      <xdr:spPr>
        <a:xfrm flipV="1">
          <a:off x="5194316" y="4045850"/>
          <a:ext cx="4380856" cy="384398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974097</xdr:colOff>
      <xdr:row>19</xdr:row>
      <xdr:rowOff>85424</xdr:rowOff>
    </xdr:from>
    <xdr:to>
      <xdr:col>17</xdr:col>
      <xdr:colOff>177800</xdr:colOff>
      <xdr:row>21</xdr:row>
      <xdr:rowOff>26300</xdr:rowOff>
    </xdr:to>
    <xdr:cxnSp macro="">
      <xdr:nvCxnSpPr>
        <xdr:cNvPr id="2391" name="Rechte verbindingslijn met pijl 2390"/>
        <xdr:cNvCxnSpPr/>
      </xdr:nvCxnSpPr>
      <xdr:spPr>
        <a:xfrm flipV="1">
          <a:off x="9575172" y="3723974"/>
          <a:ext cx="4394828" cy="32187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403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7" sqref="E7"/>
    </sheetView>
  </sheetViews>
  <sheetFormatPr defaultRowHeight="15" x14ac:dyDescent="0.25"/>
  <cols>
    <col min="1" max="1" width="9.140625" style="33" hidden="1" customWidth="1"/>
    <col min="2" max="2" width="17.425781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5.5703125" style="8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28515625" style="12" customWidth="1"/>
    <col min="14" max="14" width="12.7109375" style="9" customWidth="1"/>
    <col min="15" max="15" width="15" style="9" customWidth="1"/>
    <col min="16" max="17" width="12.7109375" style="10" customWidth="1"/>
    <col min="18" max="18" width="14.5703125" style="8" bestFit="1" customWidth="1"/>
    <col min="19" max="19" width="13.5703125" style="8" bestFit="1" customWidth="1"/>
    <col min="20" max="20" width="14.5703125" style="8" bestFit="1" customWidth="1"/>
    <col min="21" max="24" width="13.5703125" style="8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88" ht="15" customHeight="1" thickBot="1" x14ac:dyDescent="0.3">
      <c r="B1" s="42" t="str">
        <f>IF(ISBLANK(data!B1),"DATABASE NIET INGELADEN!!","Database ingeladen")</f>
        <v>DATABASE NIET INGELADEN!!</v>
      </c>
      <c r="C1" s="43"/>
      <c r="D1" s="41"/>
      <c r="E1" s="41"/>
      <c r="F1" s="48"/>
      <c r="G1" s="14"/>
      <c r="H1" s="14"/>
      <c r="I1" s="129" t="s">
        <v>257</v>
      </c>
      <c r="J1" s="129"/>
      <c r="K1" s="129"/>
      <c r="L1" s="129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/>
      <c r="C2" s="28"/>
      <c r="D2" s="128"/>
      <c r="E2" s="128"/>
      <c r="F2" s="55"/>
      <c r="G2" s="14"/>
      <c r="H2" s="27"/>
      <c r="I2" s="129"/>
      <c r="J2" s="129"/>
      <c r="K2" s="129"/>
      <c r="L2" s="129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110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/>
      <c r="C3" s="28"/>
      <c r="D3" s="128"/>
      <c r="E3" s="128"/>
      <c r="F3" s="55"/>
      <c r="G3" s="14"/>
      <c r="H3" s="14"/>
      <c r="I3" s="56" t="s">
        <v>164</v>
      </c>
      <c r="J3" s="57" t="s">
        <v>330</v>
      </c>
      <c r="K3" s="56" t="s">
        <v>165</v>
      </c>
      <c r="L3" s="57" t="s">
        <v>302</v>
      </c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x14ac:dyDescent="0.25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C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ht="15.75" thickBot="1" x14ac:dyDescent="0.3">
      <c r="A6" s="30">
        <v>3406</v>
      </c>
      <c r="B6" s="60" t="s">
        <v>260</v>
      </c>
      <c r="C6" s="60" t="s">
        <v>207</v>
      </c>
      <c r="D6" s="30">
        <v>300.10000610351562</v>
      </c>
      <c r="E6" s="36">
        <v>158</v>
      </c>
      <c r="F6" s="50">
        <v>42404.625</v>
      </c>
      <c r="G6" s="5"/>
      <c r="H6" s="14"/>
      <c r="I6" s="14"/>
      <c r="J6" s="14"/>
      <c r="K6" s="15"/>
      <c r="L6" s="16"/>
      <c r="M6" s="20"/>
      <c r="N6" s="14"/>
      <c r="O6" s="14"/>
      <c r="P6" s="14"/>
      <c r="Q6" s="14"/>
      <c r="R6" s="14"/>
      <c r="S6" s="14"/>
      <c r="T6" s="14"/>
      <c r="U6" s="14"/>
      <c r="V6" s="5"/>
      <c r="W6" s="5"/>
      <c r="X6" s="5"/>
      <c r="Y6" s="5"/>
      <c r="Z6" s="5"/>
      <c r="AA6" s="24"/>
      <c r="AC6" s="24"/>
    </row>
    <row r="7" spans="1:288" ht="15.75" thickBot="1" x14ac:dyDescent="0.3">
      <c r="A7" s="70">
        <v>4167</v>
      </c>
      <c r="B7" s="96" t="s">
        <v>257</v>
      </c>
      <c r="C7" s="96" t="s">
        <v>195</v>
      </c>
      <c r="D7" s="97">
        <v>300</v>
      </c>
      <c r="E7" s="98">
        <v>162.49999999999997</v>
      </c>
      <c r="F7" s="99">
        <v>42406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27"/>
      <c r="S7" s="27"/>
      <c r="T7" s="27"/>
      <c r="U7" s="27"/>
      <c r="V7" s="6"/>
      <c r="W7" s="6"/>
      <c r="X7" s="6"/>
      <c r="Y7" s="6"/>
      <c r="Z7" s="6"/>
      <c r="AA7" s="24"/>
      <c r="AC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</row>
    <row r="8" spans="1:288" x14ac:dyDescent="0.25">
      <c r="A8" s="30">
        <v>4115</v>
      </c>
      <c r="B8" s="60" t="s">
        <v>257</v>
      </c>
      <c r="C8" s="60" t="s">
        <v>195</v>
      </c>
      <c r="D8" s="30">
        <v>1</v>
      </c>
      <c r="E8" s="36">
        <v>150</v>
      </c>
      <c r="F8" s="50">
        <v>42407</v>
      </c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C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>
        <v>4194</v>
      </c>
      <c r="B9" s="6" t="s">
        <v>257</v>
      </c>
      <c r="C9" s="6" t="s">
        <v>195</v>
      </c>
      <c r="D9" s="31">
        <v>300</v>
      </c>
      <c r="E9" s="37">
        <v>165.39999389648437</v>
      </c>
      <c r="F9" s="52">
        <v>42407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  <c r="AA9" s="24"/>
      <c r="AC9" s="24"/>
    </row>
    <row r="10" spans="1:288" x14ac:dyDescent="0.25">
      <c r="A10" s="30">
        <v>4227</v>
      </c>
      <c r="B10" s="60" t="s">
        <v>260</v>
      </c>
      <c r="C10" s="60" t="s">
        <v>207</v>
      </c>
      <c r="D10" s="30">
        <v>300.10000610351562</v>
      </c>
      <c r="E10" s="36">
        <v>155</v>
      </c>
      <c r="F10" s="50">
        <v>42407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  <c r="AA10" s="24"/>
      <c r="AC10" s="24"/>
    </row>
    <row r="11" spans="1:288" x14ac:dyDescent="0.25">
      <c r="A11" s="31">
        <v>4539</v>
      </c>
      <c r="B11" s="6" t="s">
        <v>276</v>
      </c>
      <c r="C11" s="6" t="s">
        <v>262</v>
      </c>
      <c r="D11" s="31">
        <v>292</v>
      </c>
      <c r="E11" s="37">
        <v>165</v>
      </c>
      <c r="F11" s="52">
        <v>42407.833333333336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  <c r="AA11" s="24"/>
      <c r="AC11" s="24"/>
    </row>
    <row r="12" spans="1:288" x14ac:dyDescent="0.25">
      <c r="A12" s="30">
        <v>4356</v>
      </c>
      <c r="B12" s="60" t="s">
        <v>257</v>
      </c>
      <c r="C12" s="60" t="s">
        <v>262</v>
      </c>
      <c r="D12" s="30">
        <v>300</v>
      </c>
      <c r="E12" s="36">
        <v>162</v>
      </c>
      <c r="F12" s="50">
        <v>42408</v>
      </c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C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>
        <v>4370</v>
      </c>
      <c r="B13" s="6" t="s">
        <v>274</v>
      </c>
      <c r="C13" s="6" t="s">
        <v>275</v>
      </c>
      <c r="D13" s="31">
        <v>365.89999389648437</v>
      </c>
      <c r="E13" s="37">
        <v>150</v>
      </c>
      <c r="F13" s="52">
        <v>42408</v>
      </c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  <c r="AA13" s="24"/>
      <c r="AC13" s="24"/>
    </row>
    <row r="14" spans="1:288" x14ac:dyDescent="0.25">
      <c r="A14" s="30">
        <v>4553</v>
      </c>
      <c r="B14" s="60" t="s">
        <v>257</v>
      </c>
      <c r="C14" s="60" t="s">
        <v>233</v>
      </c>
      <c r="D14" s="30">
        <v>300</v>
      </c>
      <c r="E14" s="36">
        <v>150</v>
      </c>
      <c r="F14" s="50">
        <v>42408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  <c r="AA14" s="24"/>
      <c r="AC14" s="24"/>
    </row>
    <row r="15" spans="1:288" x14ac:dyDescent="0.25">
      <c r="A15" s="31">
        <v>4608</v>
      </c>
      <c r="B15" s="6" t="s">
        <v>281</v>
      </c>
      <c r="C15" s="6" t="s">
        <v>159</v>
      </c>
      <c r="D15" s="31">
        <v>366</v>
      </c>
      <c r="E15" s="37">
        <v>117</v>
      </c>
      <c r="F15" s="52">
        <v>42411.375</v>
      </c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  <c r="AA15" s="24"/>
      <c r="AC15" s="24"/>
    </row>
    <row r="16" spans="1:288" x14ac:dyDescent="0.25">
      <c r="A16" s="30">
        <v>4636</v>
      </c>
      <c r="B16" s="60" t="s">
        <v>280</v>
      </c>
      <c r="C16" s="60" t="s">
        <v>207</v>
      </c>
      <c r="D16" s="30">
        <v>250</v>
      </c>
      <c r="E16" s="36">
        <v>142</v>
      </c>
      <c r="F16" s="50">
        <v>42411.5</v>
      </c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  <c r="AA16" s="24"/>
      <c r="AC16" s="24"/>
    </row>
    <row r="17" spans="1:29" x14ac:dyDescent="0.25">
      <c r="A17" s="31">
        <v>5020</v>
      </c>
      <c r="B17" s="6" t="s">
        <v>291</v>
      </c>
      <c r="C17" s="6" t="s">
        <v>207</v>
      </c>
      <c r="D17" s="31">
        <v>318</v>
      </c>
      <c r="E17" s="37">
        <v>126</v>
      </c>
      <c r="F17" s="52">
        <v>42421.5625</v>
      </c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  <c r="AA17" s="24"/>
      <c r="AC17" s="24"/>
    </row>
    <row r="18" spans="1:29" x14ac:dyDescent="0.25">
      <c r="A18" s="30">
        <v>4995</v>
      </c>
      <c r="B18" s="60" t="s">
        <v>286</v>
      </c>
      <c r="C18" s="60" t="s">
        <v>287</v>
      </c>
      <c r="D18" s="30">
        <v>277</v>
      </c>
      <c r="E18" s="36">
        <v>129</v>
      </c>
      <c r="F18" s="50">
        <v>42421.916666666664</v>
      </c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  <c r="AA18" s="24"/>
      <c r="AC18" s="24"/>
    </row>
    <row r="19" spans="1:29" x14ac:dyDescent="0.25">
      <c r="A19" s="31">
        <v>5046</v>
      </c>
      <c r="B19" s="6" t="s">
        <v>284</v>
      </c>
      <c r="C19" s="6" t="s">
        <v>206</v>
      </c>
      <c r="D19" s="31">
        <v>183</v>
      </c>
      <c r="E19" s="37">
        <v>128</v>
      </c>
      <c r="F19" s="52">
        <v>42422.208333333336</v>
      </c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  <c r="AA19" s="24"/>
      <c r="AC19" s="24"/>
    </row>
    <row r="20" spans="1:29" x14ac:dyDescent="0.25">
      <c r="A20" s="30"/>
      <c r="B20" s="60"/>
      <c r="C20" s="60"/>
      <c r="D20" s="30"/>
      <c r="E20" s="36"/>
      <c r="F20" s="50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  <c r="AA20" s="24"/>
      <c r="AC20" s="24"/>
    </row>
    <row r="21" spans="1:29" x14ac:dyDescent="0.25">
      <c r="A21" s="31"/>
      <c r="B21" s="7" t="s">
        <v>0</v>
      </c>
      <c r="C21" s="7"/>
      <c r="D21" s="32"/>
      <c r="E21" s="38"/>
      <c r="F21" s="51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  <c r="AA21" s="24"/>
      <c r="AC21" s="24"/>
    </row>
    <row r="22" spans="1:29" x14ac:dyDescent="0.25">
      <c r="A22" s="31" t="s">
        <v>7</v>
      </c>
      <c r="B22" s="7" t="s">
        <v>1</v>
      </c>
      <c r="C22" s="7" t="s">
        <v>2</v>
      </c>
      <c r="D22" s="32" t="s">
        <v>3</v>
      </c>
      <c r="E22" s="38" t="s">
        <v>4</v>
      </c>
      <c r="F22" s="51" t="s">
        <v>6</v>
      </c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  <c r="AA22" s="24"/>
      <c r="AC22" s="24"/>
    </row>
    <row r="23" spans="1:29" x14ac:dyDescent="0.25">
      <c r="A23" s="30">
        <v>3353</v>
      </c>
      <c r="B23" s="2" t="s">
        <v>243</v>
      </c>
      <c r="C23" s="2" t="s">
        <v>244</v>
      </c>
      <c r="D23" s="30">
        <v>395</v>
      </c>
      <c r="E23" s="36">
        <v>133</v>
      </c>
      <c r="F23" s="50">
        <v>42383.222222222219</v>
      </c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  <c r="AA23" s="24"/>
      <c r="AC23" s="24"/>
    </row>
    <row r="24" spans="1:29" x14ac:dyDescent="0.25">
      <c r="A24" s="31">
        <v>4303</v>
      </c>
      <c r="B24" s="5" t="s">
        <v>260</v>
      </c>
      <c r="C24" s="5" t="s">
        <v>259</v>
      </c>
      <c r="D24" s="31">
        <v>300.10000610351562</v>
      </c>
      <c r="E24" s="37">
        <v>120</v>
      </c>
      <c r="F24" s="52">
        <v>42407</v>
      </c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  <c r="AA24" s="24"/>
      <c r="AC24" s="24"/>
    </row>
    <row r="25" spans="1:29" x14ac:dyDescent="0.25">
      <c r="A25" s="30">
        <v>3508</v>
      </c>
      <c r="B25" s="2" t="s">
        <v>258</v>
      </c>
      <c r="C25" s="2" t="s">
        <v>259</v>
      </c>
      <c r="D25" s="30">
        <v>368</v>
      </c>
      <c r="E25" s="36">
        <v>153</v>
      </c>
      <c r="F25" s="50">
        <v>42407</v>
      </c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  <c r="AA25" s="24"/>
      <c r="AC25" s="24"/>
    </row>
    <row r="26" spans="1:29" x14ac:dyDescent="0.25">
      <c r="A26" s="31">
        <v>4142</v>
      </c>
      <c r="B26" s="5" t="s">
        <v>257</v>
      </c>
      <c r="C26" s="5" t="s">
        <v>259</v>
      </c>
      <c r="D26" s="31">
        <v>300</v>
      </c>
      <c r="E26" s="37">
        <v>150</v>
      </c>
      <c r="F26" s="52">
        <v>42407</v>
      </c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  <c r="AA26" s="24"/>
      <c r="AC26" s="24"/>
    </row>
    <row r="27" spans="1:29" x14ac:dyDescent="0.25">
      <c r="A27" s="30">
        <v>4792</v>
      </c>
      <c r="B27" s="2" t="s">
        <v>278</v>
      </c>
      <c r="C27" s="2" t="s">
        <v>279</v>
      </c>
      <c r="D27" s="30">
        <v>228</v>
      </c>
      <c r="E27" s="36">
        <v>141</v>
      </c>
      <c r="F27" s="50">
        <v>42413.25</v>
      </c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  <c r="AA27" s="24"/>
      <c r="AC27" s="24"/>
    </row>
    <row r="28" spans="1:29" x14ac:dyDescent="0.25">
      <c r="A28" s="31">
        <v>4893</v>
      </c>
      <c r="B28" s="5" t="s">
        <v>277</v>
      </c>
      <c r="C28" s="5" t="s">
        <v>259</v>
      </c>
      <c r="D28" s="31">
        <v>368</v>
      </c>
      <c r="E28" s="37">
        <v>143</v>
      </c>
      <c r="F28" s="52">
        <v>42419.333333333336</v>
      </c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  <c r="AA28" s="24"/>
      <c r="AC28" s="24"/>
    </row>
    <row r="29" spans="1:29" x14ac:dyDescent="0.25">
      <c r="A29" s="30">
        <v>4944</v>
      </c>
      <c r="B29" s="2" t="s">
        <v>292</v>
      </c>
      <c r="C29" s="2" t="s">
        <v>279</v>
      </c>
      <c r="D29" s="30">
        <v>267</v>
      </c>
      <c r="E29" s="36">
        <v>129</v>
      </c>
      <c r="F29" s="50">
        <v>42421.25</v>
      </c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  <c r="AA29" s="24"/>
      <c r="AC29" s="24"/>
    </row>
    <row r="30" spans="1:29" x14ac:dyDescent="0.25">
      <c r="A30" s="31">
        <v>5073</v>
      </c>
      <c r="B30" s="5" t="s">
        <v>290</v>
      </c>
      <c r="C30" s="5" t="s">
        <v>279</v>
      </c>
      <c r="D30" s="31">
        <v>182</v>
      </c>
      <c r="E30" s="37">
        <v>122</v>
      </c>
      <c r="F30" s="52">
        <v>42421.625</v>
      </c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  <c r="AA30" s="24"/>
      <c r="AC30" s="24"/>
    </row>
    <row r="31" spans="1:29" x14ac:dyDescent="0.25">
      <c r="A31" s="30">
        <v>5125</v>
      </c>
      <c r="B31" s="2" t="s">
        <v>288</v>
      </c>
      <c r="C31" s="2" t="s">
        <v>289</v>
      </c>
      <c r="D31" s="30">
        <v>277</v>
      </c>
      <c r="E31" s="36">
        <v>125</v>
      </c>
      <c r="F31" s="50">
        <v>42421.729166666664</v>
      </c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  <c r="AA31" s="24"/>
      <c r="AC31" s="24"/>
    </row>
    <row r="32" spans="1:29" x14ac:dyDescent="0.25">
      <c r="A32" s="31">
        <v>5152</v>
      </c>
      <c r="B32" s="5" t="s">
        <v>285</v>
      </c>
      <c r="C32" s="5" t="s">
        <v>279</v>
      </c>
      <c r="D32" s="31">
        <v>299</v>
      </c>
      <c r="E32" s="37">
        <v>131</v>
      </c>
      <c r="F32" s="52">
        <v>42421.916666666664</v>
      </c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  <c r="AA32" s="24"/>
      <c r="AC32" s="24"/>
    </row>
    <row r="33" spans="1:29" x14ac:dyDescent="0.25">
      <c r="A33" s="30">
        <v>5217</v>
      </c>
      <c r="B33" s="2" t="s">
        <v>282</v>
      </c>
      <c r="C33" s="2" t="s">
        <v>244</v>
      </c>
      <c r="D33" s="30">
        <v>294</v>
      </c>
      <c r="E33" s="36">
        <v>122</v>
      </c>
      <c r="F33" s="50">
        <v>42423.041666666664</v>
      </c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  <c r="AA33" s="24"/>
      <c r="AC33" s="24"/>
    </row>
    <row r="34" spans="1:29" x14ac:dyDescent="0.25">
      <c r="A34" s="31"/>
      <c r="B34" s="5"/>
      <c r="C34" s="5"/>
      <c r="D34" s="31"/>
      <c r="E34" s="37"/>
      <c r="F34" s="52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  <c r="AA34" s="24"/>
      <c r="AC34" s="24"/>
    </row>
    <row r="35" spans="1:29" x14ac:dyDescent="0.25">
      <c r="A35" s="31"/>
      <c r="B35" s="45" t="s">
        <v>13</v>
      </c>
      <c r="C35" s="45"/>
      <c r="D35" s="46"/>
      <c r="E35" s="47"/>
      <c r="F35" s="53"/>
      <c r="G35" s="5"/>
      <c r="H35" s="14"/>
      <c r="I35" s="14"/>
      <c r="J35" s="111" t="s">
        <v>241</v>
      </c>
      <c r="K35" s="112">
        <v>42406.421701388892</v>
      </c>
      <c r="L35" s="113"/>
      <c r="M35" s="112">
        <v>42406.464224537034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  <c r="AA35" s="24"/>
      <c r="AC35" s="24"/>
    </row>
    <row r="36" spans="1:29" ht="15.75" thickBot="1" x14ac:dyDescent="0.3">
      <c r="A36" s="31" t="s">
        <v>7</v>
      </c>
      <c r="B36" s="45" t="s">
        <v>1</v>
      </c>
      <c r="C36" s="45" t="s">
        <v>2</v>
      </c>
      <c r="D36" s="46" t="s">
        <v>3</v>
      </c>
      <c r="E36" s="47" t="s">
        <v>4</v>
      </c>
      <c r="F36" s="53" t="s">
        <v>6</v>
      </c>
      <c r="G36" s="5"/>
      <c r="H36" s="14"/>
      <c r="I36" s="69" t="s">
        <v>166</v>
      </c>
      <c r="J36" s="69" t="s">
        <v>167</v>
      </c>
      <c r="K36" s="95" t="s">
        <v>168</v>
      </c>
      <c r="L36" s="114" t="s">
        <v>169</v>
      </c>
      <c r="M36" s="95" t="s">
        <v>170</v>
      </c>
      <c r="N36" s="115" t="s">
        <v>171</v>
      </c>
      <c r="O36" s="115" t="s">
        <v>172</v>
      </c>
      <c r="P36" s="116" t="s">
        <v>172</v>
      </c>
      <c r="Q36" s="116" t="s">
        <v>171</v>
      </c>
      <c r="R36" s="14"/>
      <c r="S36" s="14"/>
      <c r="T36" s="14"/>
      <c r="U36" s="14"/>
      <c r="V36" s="5"/>
      <c r="W36" s="5"/>
      <c r="X36" s="5"/>
      <c r="Y36" s="5"/>
      <c r="Z36" s="5"/>
      <c r="AA36" s="24"/>
      <c r="AC36" s="24"/>
    </row>
    <row r="37" spans="1:29" ht="15.75" thickBot="1" x14ac:dyDescent="0.3">
      <c r="A37" s="30">
        <v>4224</v>
      </c>
      <c r="B37" s="2" t="s">
        <v>260</v>
      </c>
      <c r="C37" s="2" t="s">
        <v>261</v>
      </c>
      <c r="D37" s="30">
        <v>300.10000610351562</v>
      </c>
      <c r="E37" s="36">
        <v>150</v>
      </c>
      <c r="F37" s="50">
        <v>42407</v>
      </c>
      <c r="G37" s="5"/>
      <c r="H37" s="14"/>
      <c r="I37" s="123" t="s">
        <v>162</v>
      </c>
      <c r="J37" s="117">
        <v>187</v>
      </c>
      <c r="K37" s="83" t="s">
        <v>331</v>
      </c>
      <c r="L37" s="118" t="s">
        <v>210</v>
      </c>
      <c r="M37" s="119">
        <v>0</v>
      </c>
      <c r="N37" s="120">
        <v>42405.626388888886</v>
      </c>
      <c r="O37" s="120">
        <v>42406.421701388892</v>
      </c>
      <c r="P37" s="121">
        <v>42406.464224537034</v>
      </c>
      <c r="Q37" s="122">
        <v>42406.997916666667</v>
      </c>
      <c r="R37" s="14"/>
      <c r="S37" s="14"/>
      <c r="T37" s="14"/>
      <c r="U37" s="14"/>
      <c r="V37" s="5"/>
      <c r="W37" s="5"/>
      <c r="X37" s="5"/>
      <c r="Y37" s="5"/>
      <c r="Z37" s="5"/>
      <c r="AA37" s="24"/>
      <c r="AC37" s="24"/>
    </row>
    <row r="38" spans="1:29" x14ac:dyDescent="0.25">
      <c r="A38" s="31">
        <v>5244</v>
      </c>
      <c r="B38" s="5" t="s">
        <v>282</v>
      </c>
      <c r="C38" s="5" t="s">
        <v>283</v>
      </c>
      <c r="D38" s="31">
        <v>294</v>
      </c>
      <c r="E38" s="37">
        <v>122</v>
      </c>
      <c r="F38" s="52">
        <v>42422.75</v>
      </c>
      <c r="G38" s="5"/>
      <c r="H38" s="14"/>
      <c r="I38" s="14" t="s">
        <v>192</v>
      </c>
      <c r="J38" s="14">
        <v>200</v>
      </c>
      <c r="K38" s="27" t="s">
        <v>331</v>
      </c>
      <c r="L38" s="16" t="s">
        <v>210</v>
      </c>
      <c r="M38" s="20">
        <v>0</v>
      </c>
      <c r="N38" s="19">
        <v>42405.63957175926</v>
      </c>
      <c r="O38" s="19">
        <v>42406.436284722222</v>
      </c>
      <c r="P38" s="17">
        <v>42406.478807870371</v>
      </c>
      <c r="Q38" s="17">
        <v>42407.014594907407</v>
      </c>
      <c r="R38" s="14"/>
      <c r="S38" s="14"/>
      <c r="T38" s="14"/>
      <c r="U38" s="14"/>
      <c r="V38" s="5"/>
      <c r="W38" s="5"/>
      <c r="X38" s="5"/>
      <c r="Y38" s="5"/>
      <c r="Z38" s="5"/>
      <c r="AA38" s="24"/>
      <c r="AC38" s="24"/>
    </row>
    <row r="39" spans="1:29" ht="15" customHeight="1" x14ac:dyDescent="0.3">
      <c r="A39" s="30"/>
      <c r="B39" s="2"/>
      <c r="C39" s="2"/>
      <c r="D39" s="30"/>
      <c r="E39" s="36"/>
      <c r="F39" s="50"/>
      <c r="G39" s="5"/>
      <c r="H39" s="18"/>
      <c r="I39" s="14" t="s">
        <v>193</v>
      </c>
      <c r="J39" s="14">
        <v>159</v>
      </c>
      <c r="K39" s="14" t="s">
        <v>331</v>
      </c>
      <c r="L39" s="14" t="s">
        <v>210</v>
      </c>
      <c r="M39" s="14" t="s">
        <v>332</v>
      </c>
      <c r="N39" s="19">
        <v>42406.401018518518</v>
      </c>
      <c r="O39" s="19">
        <v>42406.446006944447</v>
      </c>
      <c r="P39" s="17">
        <v>42406.488530092596</v>
      </c>
      <c r="Q39" s="17">
        <v>42406.612997685188</v>
      </c>
      <c r="R39" s="14"/>
      <c r="S39" s="14"/>
      <c r="T39" s="14"/>
      <c r="U39" s="14"/>
      <c r="V39" s="5"/>
      <c r="W39" s="5"/>
      <c r="X39" s="5"/>
      <c r="Y39" s="5"/>
      <c r="Z39" s="5"/>
      <c r="AA39" s="24"/>
      <c r="AC39" s="24"/>
    </row>
    <row r="40" spans="1:29" x14ac:dyDescent="0.25">
      <c r="A40" s="31"/>
      <c r="B40" s="5"/>
      <c r="C40" s="5"/>
      <c r="D40" s="31"/>
      <c r="E40" s="37"/>
      <c r="F40" s="52"/>
      <c r="G40" s="5"/>
      <c r="H40" s="14"/>
      <c r="I40" s="14" t="s">
        <v>173</v>
      </c>
      <c r="J40" s="14">
        <v>160</v>
      </c>
      <c r="K40" s="15" t="s">
        <v>331</v>
      </c>
      <c r="L40" s="16" t="s">
        <v>210</v>
      </c>
      <c r="M40" s="20" t="s">
        <v>333</v>
      </c>
      <c r="N40" s="19">
        <v>42406.400763888887</v>
      </c>
      <c r="O40" s="19">
        <v>42406.454340277778</v>
      </c>
      <c r="P40" s="17">
        <v>42406.496863425928</v>
      </c>
      <c r="Q40" s="17">
        <v>42406.622256944444</v>
      </c>
      <c r="R40" s="14"/>
      <c r="S40" s="14"/>
      <c r="T40" s="14"/>
      <c r="U40" s="14"/>
      <c r="V40" s="5"/>
      <c r="W40" s="5"/>
      <c r="X40" s="5"/>
      <c r="Y40" s="5"/>
      <c r="Z40" s="5"/>
      <c r="AA40" s="24"/>
      <c r="AC40" s="24"/>
    </row>
    <row r="41" spans="1:29" x14ac:dyDescent="0.25">
      <c r="A41" s="30"/>
      <c r="B41" s="2"/>
      <c r="C41" s="2"/>
      <c r="D41" s="30"/>
      <c r="E41" s="36"/>
      <c r="F41" s="50"/>
      <c r="G41" s="5"/>
      <c r="H41" s="14"/>
      <c r="I41" s="14" t="s">
        <v>174</v>
      </c>
      <c r="J41" s="14">
        <v>158</v>
      </c>
      <c r="K41" s="15" t="s">
        <v>331</v>
      </c>
      <c r="L41" s="16" t="s">
        <v>210</v>
      </c>
      <c r="M41" s="20" t="s">
        <v>334</v>
      </c>
      <c r="N41" s="19">
        <v>42406.412673611114</v>
      </c>
      <c r="O41" s="19">
        <v>42406.457812499997</v>
      </c>
      <c r="P41" s="17">
        <v>42406.500335648147</v>
      </c>
      <c r="Q41" s="17">
        <v>42406.61513888889</v>
      </c>
      <c r="R41" s="14"/>
      <c r="S41" s="14"/>
      <c r="T41" s="14"/>
      <c r="U41" s="14"/>
      <c r="V41" s="5"/>
      <c r="W41" s="5"/>
      <c r="X41" s="5"/>
      <c r="Y41" s="5"/>
      <c r="Z41" s="5"/>
      <c r="AA41" s="24"/>
      <c r="AC41" s="24"/>
    </row>
    <row r="42" spans="1:29" x14ac:dyDescent="0.25">
      <c r="A42" s="31"/>
      <c r="B42" s="5"/>
      <c r="C42" s="5"/>
      <c r="D42" s="31"/>
      <c r="E42" s="37"/>
      <c r="F42" s="52"/>
      <c r="G42" s="5"/>
      <c r="H42" s="14"/>
      <c r="I42" s="14" t="s">
        <v>175</v>
      </c>
      <c r="J42" s="14">
        <v>153</v>
      </c>
      <c r="K42" s="15" t="s">
        <v>331</v>
      </c>
      <c r="L42" s="16" t="s">
        <v>210</v>
      </c>
      <c r="M42" s="20" t="s">
        <v>335</v>
      </c>
      <c r="N42" s="19">
        <v>42406.435740740744</v>
      </c>
      <c r="O42" s="19">
        <v>42406.467534722222</v>
      </c>
      <c r="P42" s="17">
        <v>42406.510057870371</v>
      </c>
      <c r="Q42" s="17">
        <v>42406.590891203705</v>
      </c>
      <c r="R42" s="14"/>
      <c r="S42" s="14"/>
      <c r="T42" s="14"/>
      <c r="U42" s="14"/>
      <c r="V42" s="5"/>
      <c r="W42" s="5"/>
      <c r="X42" s="5"/>
      <c r="Y42" s="5"/>
      <c r="Z42" s="5"/>
      <c r="AA42" s="24"/>
      <c r="AC42" s="24"/>
    </row>
    <row r="43" spans="1:29" x14ac:dyDescent="0.25">
      <c r="A43" s="30"/>
      <c r="B43" s="2"/>
      <c r="C43" s="2"/>
      <c r="D43" s="30"/>
      <c r="E43" s="36"/>
      <c r="F43" s="50"/>
      <c r="G43" s="5"/>
      <c r="H43" s="14"/>
      <c r="I43" s="14" t="s">
        <v>176</v>
      </c>
      <c r="J43" s="14">
        <v>152</v>
      </c>
      <c r="K43" s="15" t="s">
        <v>331</v>
      </c>
      <c r="L43" s="16" t="s">
        <v>210</v>
      </c>
      <c r="M43" s="20" t="s">
        <v>312</v>
      </c>
      <c r="N43" s="19">
        <v>42406.442337962966</v>
      </c>
      <c r="O43" s="19">
        <v>42406.469618055555</v>
      </c>
      <c r="P43" s="17">
        <v>42406.512141203704</v>
      </c>
      <c r="Q43" s="17">
        <v>42406.586828703701</v>
      </c>
      <c r="R43" s="14"/>
      <c r="S43" s="14"/>
      <c r="T43" s="14"/>
      <c r="U43" s="14"/>
      <c r="V43" s="5"/>
      <c r="W43" s="5"/>
      <c r="X43" s="5"/>
      <c r="Y43" s="5"/>
      <c r="Z43" s="5"/>
      <c r="AA43" s="24"/>
      <c r="AC43" s="24"/>
    </row>
    <row r="44" spans="1:29" x14ac:dyDescent="0.25">
      <c r="A44" s="31"/>
      <c r="B44" s="5"/>
      <c r="C44" s="5"/>
      <c r="D44" s="31"/>
      <c r="E44" s="37"/>
      <c r="F44" s="52"/>
      <c r="G44" s="5"/>
      <c r="H44" s="14"/>
      <c r="I44" s="14" t="s">
        <v>177</v>
      </c>
      <c r="J44" s="14">
        <v>155</v>
      </c>
      <c r="K44" s="15" t="s">
        <v>331</v>
      </c>
      <c r="L44" s="16" t="s">
        <v>210</v>
      </c>
      <c r="M44" s="20" t="s">
        <v>336</v>
      </c>
      <c r="N44" s="19">
        <v>42406.435486111113</v>
      </c>
      <c r="O44" s="19">
        <v>42406.480034722219</v>
      </c>
      <c r="P44" s="17">
        <v>42406.522557870368</v>
      </c>
      <c r="Q44" s="17">
        <v>42406.614664351851</v>
      </c>
      <c r="R44" s="14"/>
      <c r="S44" s="14"/>
      <c r="T44" s="14"/>
      <c r="U44" s="14"/>
      <c r="V44" s="5"/>
      <c r="W44" s="5"/>
      <c r="X44" s="5"/>
      <c r="Y44" s="5"/>
      <c r="Z44" s="5"/>
      <c r="AA44" s="24"/>
      <c r="AC44" s="24"/>
    </row>
    <row r="45" spans="1:29" x14ac:dyDescent="0.25">
      <c r="A45" s="30"/>
      <c r="B45" s="2"/>
      <c r="C45" s="2"/>
      <c r="D45" s="30"/>
      <c r="E45" s="36"/>
      <c r="F45" s="50"/>
      <c r="G45" s="5"/>
      <c r="H45" s="14"/>
      <c r="I45" s="14" t="s">
        <v>178</v>
      </c>
      <c r="J45" s="14">
        <v>148</v>
      </c>
      <c r="K45" s="15" t="s">
        <v>331</v>
      </c>
      <c r="L45" s="16" t="s">
        <v>210</v>
      </c>
      <c r="M45" s="20" t="s">
        <v>337</v>
      </c>
      <c r="N45" s="19">
        <v>42406.468726851854</v>
      </c>
      <c r="O45" s="19">
        <v>42406.482812499999</v>
      </c>
      <c r="P45" s="17">
        <v>42406.525335648148</v>
      </c>
      <c r="Q45" s="17">
        <v>42406.564837962964</v>
      </c>
      <c r="R45" s="14"/>
      <c r="S45" s="14"/>
      <c r="T45" s="14"/>
      <c r="U45" s="14"/>
      <c r="V45" s="5"/>
      <c r="W45" s="5"/>
      <c r="X45" s="5"/>
      <c r="Y45" s="5"/>
      <c r="Z45" s="5"/>
      <c r="AA45" s="24"/>
      <c r="AC45" s="24"/>
    </row>
    <row r="46" spans="1:29" x14ac:dyDescent="0.25">
      <c r="A46" s="31"/>
      <c r="B46" s="5"/>
      <c r="C46" s="5"/>
      <c r="D46" s="31"/>
      <c r="E46" s="37"/>
      <c r="F46" s="52"/>
      <c r="G46" s="5"/>
      <c r="H46" s="14"/>
      <c r="I46" s="14" t="s">
        <v>179</v>
      </c>
      <c r="J46" s="14">
        <v>159</v>
      </c>
      <c r="K46" s="15" t="s">
        <v>331</v>
      </c>
      <c r="L46" s="16" t="s">
        <v>8</v>
      </c>
      <c r="M46" s="20" t="s">
        <v>332</v>
      </c>
      <c r="N46" s="19">
        <v>42406.419317129628</v>
      </c>
      <c r="O46" s="19">
        <v>42406.489756944444</v>
      </c>
      <c r="P46" s="17">
        <v>42406.532280092593</v>
      </c>
      <c r="Q46" s="17">
        <v>42406.637488425928</v>
      </c>
      <c r="R46" s="14"/>
      <c r="S46" s="14"/>
      <c r="T46" s="14"/>
      <c r="U46" s="14"/>
      <c r="V46" s="5"/>
      <c r="W46" s="5"/>
      <c r="X46" s="5"/>
      <c r="Y46" s="5"/>
      <c r="Z46" s="5"/>
      <c r="AA46" s="24"/>
      <c r="AC46" s="24"/>
    </row>
    <row r="47" spans="1:29" x14ac:dyDescent="0.25">
      <c r="A47" s="30"/>
      <c r="B47" s="2"/>
      <c r="C47" s="2"/>
      <c r="D47" s="30"/>
      <c r="E47" s="36"/>
      <c r="F47" s="50"/>
      <c r="G47" s="5"/>
      <c r="H47" s="14"/>
      <c r="I47" s="14" t="s">
        <v>180</v>
      </c>
      <c r="J47" s="14">
        <v>155</v>
      </c>
      <c r="K47" s="15" t="s">
        <v>331</v>
      </c>
      <c r="L47" s="16" t="s">
        <v>8</v>
      </c>
      <c r="M47" s="20" t="s">
        <v>336</v>
      </c>
      <c r="N47" s="19">
        <v>42406.436701388891</v>
      </c>
      <c r="O47" s="19">
        <v>42406.493923611109</v>
      </c>
      <c r="P47" s="17">
        <v>42406.536446759259</v>
      </c>
      <c r="Q47" s="17">
        <v>42406.61577546296</v>
      </c>
      <c r="R47" s="14"/>
      <c r="S47" s="14"/>
      <c r="T47" s="14"/>
      <c r="U47" s="14"/>
      <c r="V47" s="5"/>
      <c r="W47" s="5"/>
      <c r="X47" s="5"/>
      <c r="Y47" s="5"/>
      <c r="Z47" s="5"/>
      <c r="AA47" s="24"/>
      <c r="AC47" s="24"/>
    </row>
    <row r="48" spans="1:29" ht="15.75" thickBot="1" x14ac:dyDescent="0.3">
      <c r="A48" s="31"/>
      <c r="B48" s="5"/>
      <c r="C48" s="5"/>
      <c r="D48" s="31"/>
      <c r="E48" s="37"/>
      <c r="F48" s="52"/>
      <c r="G48" s="5"/>
      <c r="H48" s="14"/>
      <c r="I48" s="14" t="s">
        <v>181</v>
      </c>
      <c r="J48" s="14">
        <v>145</v>
      </c>
      <c r="K48" s="15" t="s">
        <v>331</v>
      </c>
      <c r="L48" s="16" t="s">
        <v>8</v>
      </c>
      <c r="M48" s="20" t="s">
        <v>338</v>
      </c>
      <c r="N48" s="124">
        <v>42406.498784722222</v>
      </c>
      <c r="O48" s="124">
        <v>42406.498784722222</v>
      </c>
      <c r="P48" s="133">
        <v>42406.541307870371</v>
      </c>
      <c r="Q48" s="133">
        <v>42406.541307870371</v>
      </c>
      <c r="R48" s="14"/>
      <c r="S48" s="14"/>
      <c r="T48" s="14"/>
      <c r="U48" s="14"/>
      <c r="V48" s="5"/>
      <c r="W48" s="5"/>
      <c r="X48" s="5"/>
      <c r="Y48" s="5"/>
      <c r="Z48" s="5"/>
      <c r="AA48" s="24"/>
      <c r="AC48" s="24"/>
    </row>
    <row r="49" spans="1:29" ht="15.75" thickBot="1" x14ac:dyDescent="0.3">
      <c r="A49" s="30"/>
      <c r="B49" s="2"/>
      <c r="C49" s="2"/>
      <c r="D49" s="30"/>
      <c r="E49" s="36"/>
      <c r="F49" s="50"/>
      <c r="G49" s="5"/>
      <c r="H49" s="14"/>
      <c r="I49" s="123" t="s">
        <v>8</v>
      </c>
      <c r="J49" s="117">
        <v>149</v>
      </c>
      <c r="K49" s="125" t="s">
        <v>339</v>
      </c>
      <c r="L49" s="118" t="s">
        <v>8</v>
      </c>
      <c r="M49" s="119" t="s">
        <v>299</v>
      </c>
      <c r="N49" s="120">
        <v>42406.455451388887</v>
      </c>
      <c r="O49" s="120">
        <v>42406.511979166666</v>
      </c>
      <c r="P49" s="121">
        <v>42406.554502314815</v>
      </c>
      <c r="Q49" s="122">
        <v>42406.621493055558</v>
      </c>
      <c r="R49" s="14"/>
      <c r="S49" s="14"/>
      <c r="T49" s="14"/>
      <c r="U49" s="14"/>
      <c r="V49" s="5"/>
      <c r="W49" s="5"/>
      <c r="X49" s="5"/>
      <c r="Y49" s="5"/>
      <c r="Z49" s="5"/>
      <c r="AA49" s="24"/>
      <c r="AC49" s="24"/>
    </row>
    <row r="50" spans="1:29" x14ac:dyDescent="0.25">
      <c r="A50" s="31"/>
      <c r="B50" s="5"/>
      <c r="C50" s="5"/>
      <c r="D50" s="31"/>
      <c r="E50" s="37"/>
      <c r="F50" s="52"/>
      <c r="G50" s="5"/>
      <c r="H50" s="14"/>
      <c r="I50" s="14" t="s">
        <v>182</v>
      </c>
      <c r="J50" s="14">
        <v>147</v>
      </c>
      <c r="K50" s="15" t="s">
        <v>339</v>
      </c>
      <c r="L50" s="16" t="s">
        <v>8</v>
      </c>
      <c r="M50" s="20" t="s">
        <v>317</v>
      </c>
      <c r="N50" s="19">
        <v>42406.463865740741</v>
      </c>
      <c r="O50" s="19">
        <v>42406.532118055555</v>
      </c>
      <c r="P50" s="17">
        <v>42406.574641203704</v>
      </c>
      <c r="Q50" s="17">
        <v>42406.626111111109</v>
      </c>
      <c r="R50" s="14"/>
      <c r="S50" s="14"/>
      <c r="T50" s="14"/>
      <c r="U50" s="14"/>
      <c r="V50" s="5"/>
      <c r="W50" s="5"/>
      <c r="X50" s="5"/>
      <c r="Y50" s="5"/>
      <c r="Z50" s="5"/>
      <c r="AA50" s="24"/>
      <c r="AC50" s="24"/>
    </row>
    <row r="51" spans="1:29" x14ac:dyDescent="0.25">
      <c r="A51" s="30"/>
      <c r="B51" s="2"/>
      <c r="C51" s="2"/>
      <c r="D51" s="30"/>
      <c r="E51" s="36"/>
      <c r="F51" s="50"/>
      <c r="G51" s="5"/>
      <c r="H51" s="14"/>
      <c r="I51" s="14" t="s">
        <v>183</v>
      </c>
      <c r="J51" s="14">
        <v>147</v>
      </c>
      <c r="K51" s="15" t="s">
        <v>339</v>
      </c>
      <c r="L51" s="16" t="s">
        <v>8</v>
      </c>
      <c r="M51" s="20" t="s">
        <v>317</v>
      </c>
      <c r="N51" s="19">
        <v>42406.465324074074</v>
      </c>
      <c r="O51" s="19">
        <v>42406.534201388888</v>
      </c>
      <c r="P51" s="17">
        <v>42406.576724537037</v>
      </c>
      <c r="Q51" s="17">
        <v>42406.632268518515</v>
      </c>
      <c r="R51" s="14"/>
      <c r="S51" s="14"/>
      <c r="T51" s="14"/>
      <c r="U51" s="14"/>
      <c r="V51" s="5"/>
      <c r="W51" s="5"/>
      <c r="X51" s="5"/>
      <c r="Y51" s="5"/>
      <c r="Z51" s="5"/>
      <c r="AA51" s="24"/>
      <c r="AC51" s="24"/>
    </row>
    <row r="52" spans="1:29" x14ac:dyDescent="0.25">
      <c r="A52" s="31"/>
      <c r="B52" s="5"/>
      <c r="C52" s="5"/>
      <c r="D52" s="31"/>
      <c r="E52" s="37"/>
      <c r="F52" s="52"/>
      <c r="G52" s="5"/>
      <c r="H52" s="14"/>
      <c r="I52" s="14" t="s">
        <v>11</v>
      </c>
      <c r="J52" s="14">
        <v>146</v>
      </c>
      <c r="K52" s="15" t="s">
        <v>339</v>
      </c>
      <c r="L52" s="16" t="s">
        <v>10</v>
      </c>
      <c r="M52" s="20" t="s">
        <v>340</v>
      </c>
      <c r="N52" s="19">
        <v>42406.470532407409</v>
      </c>
      <c r="O52" s="19">
        <v>42406.552951388891</v>
      </c>
      <c r="P52" s="17">
        <v>42406.59547453704</v>
      </c>
      <c r="Q52" s="17">
        <v>42406.634375000001</v>
      </c>
      <c r="R52" s="14"/>
      <c r="S52" s="14"/>
      <c r="T52" s="14"/>
      <c r="U52" s="14"/>
      <c r="V52" s="5"/>
      <c r="W52" s="5"/>
      <c r="X52" s="5"/>
      <c r="Y52" s="5"/>
      <c r="Z52" s="5"/>
      <c r="AA52" s="24"/>
      <c r="AC52" s="24"/>
    </row>
    <row r="53" spans="1:29" x14ac:dyDescent="0.25">
      <c r="A53" s="30"/>
      <c r="B53" s="2"/>
      <c r="C53" s="2"/>
      <c r="D53" s="30"/>
      <c r="E53" s="36"/>
      <c r="F53" s="50"/>
      <c r="G53" s="5"/>
      <c r="H53" s="14"/>
      <c r="I53" s="14" t="s">
        <v>184</v>
      </c>
      <c r="J53" s="14">
        <v>149</v>
      </c>
      <c r="K53" s="15" t="s">
        <v>339</v>
      </c>
      <c r="L53" s="16" t="s">
        <v>10</v>
      </c>
      <c r="M53" s="20" t="s">
        <v>299</v>
      </c>
      <c r="N53" s="19">
        <v>42406.461469907408</v>
      </c>
      <c r="O53" s="19">
        <v>42406.566840277781</v>
      </c>
      <c r="P53" s="17">
        <v>42406.609363425923</v>
      </c>
      <c r="Q53" s="17">
        <v>42406.656990740739</v>
      </c>
      <c r="R53" s="14"/>
      <c r="S53" s="14"/>
      <c r="T53" s="14"/>
      <c r="U53" s="14"/>
      <c r="V53" s="5"/>
      <c r="W53" s="5"/>
      <c r="X53" s="5"/>
      <c r="Y53" s="5"/>
      <c r="Z53" s="5"/>
      <c r="AA53" s="24"/>
      <c r="AC53" s="24"/>
    </row>
    <row r="54" spans="1:29" x14ac:dyDescent="0.25">
      <c r="A54" s="31"/>
      <c r="B54" s="5"/>
      <c r="C54" s="5"/>
      <c r="D54" s="31"/>
      <c r="E54" s="37"/>
      <c r="F54" s="52"/>
      <c r="G54" s="5"/>
      <c r="H54" s="14"/>
      <c r="I54" s="14" t="s">
        <v>185</v>
      </c>
      <c r="J54" s="14">
        <v>146</v>
      </c>
      <c r="K54" s="15" t="s">
        <v>339</v>
      </c>
      <c r="L54" s="16" t="s">
        <v>10</v>
      </c>
      <c r="M54" s="20" t="s">
        <v>340</v>
      </c>
      <c r="N54" s="19">
        <v>42406.474826388891</v>
      </c>
      <c r="O54" s="19">
        <v>42406.575868055559</v>
      </c>
      <c r="P54" s="17">
        <v>42406.618391203701</v>
      </c>
      <c r="Q54" s="17">
        <v>42406.650011574071</v>
      </c>
      <c r="R54" s="14"/>
      <c r="S54" s="14"/>
      <c r="T54" s="14"/>
      <c r="U54" s="14"/>
      <c r="V54" s="5"/>
      <c r="W54" s="5"/>
      <c r="X54" s="5"/>
      <c r="Y54" s="5"/>
      <c r="Z54" s="5"/>
      <c r="AA54" s="24"/>
      <c r="AC54" s="24"/>
    </row>
    <row r="55" spans="1:29" x14ac:dyDescent="0.25">
      <c r="A55" s="30"/>
      <c r="B55" s="2"/>
      <c r="C55" s="2"/>
      <c r="D55" s="30"/>
      <c r="E55" s="36"/>
      <c r="F55" s="50"/>
      <c r="G55" s="5"/>
      <c r="H55" s="14"/>
      <c r="I55" s="14" t="s">
        <v>10</v>
      </c>
      <c r="J55" s="14">
        <v>145</v>
      </c>
      <c r="K55" s="15" t="s">
        <v>339</v>
      </c>
      <c r="L55" s="16" t="s">
        <v>10</v>
      </c>
      <c r="M55" s="20" t="s">
        <v>316</v>
      </c>
      <c r="N55" s="19">
        <v>42406.48233796296</v>
      </c>
      <c r="O55" s="19">
        <v>42406.582812499997</v>
      </c>
      <c r="P55" s="17">
        <v>42406.625335648147</v>
      </c>
      <c r="Q55" s="17">
        <v>42406.655555555553</v>
      </c>
      <c r="R55" s="14"/>
      <c r="S55" s="14"/>
      <c r="T55" s="14"/>
      <c r="U55" s="14"/>
      <c r="V55" s="5"/>
      <c r="W55" s="5"/>
      <c r="X55" s="5"/>
      <c r="Y55" s="5"/>
      <c r="Z55" s="5"/>
      <c r="AA55" s="24"/>
      <c r="AC55" s="24"/>
    </row>
    <row r="56" spans="1:29" x14ac:dyDescent="0.25">
      <c r="A56" s="31"/>
      <c r="B56" s="5"/>
      <c r="C56" s="5"/>
      <c r="D56" s="31"/>
      <c r="E56" s="37"/>
      <c r="F56" s="52"/>
      <c r="G56" s="5"/>
      <c r="H56" s="14"/>
      <c r="I56" s="14" t="s">
        <v>186</v>
      </c>
      <c r="J56" s="14">
        <v>145</v>
      </c>
      <c r="K56" s="15" t="s">
        <v>339</v>
      </c>
      <c r="L56" s="16" t="s">
        <v>10</v>
      </c>
      <c r="M56" s="20" t="s">
        <v>316</v>
      </c>
      <c r="N56" s="19">
        <v>42406.483229166668</v>
      </c>
      <c r="O56" s="19">
        <v>42406.587673611109</v>
      </c>
      <c r="P56" s="17">
        <v>42406.630196759259</v>
      </c>
      <c r="Q56" s="17">
        <v>42406.656481481485</v>
      </c>
      <c r="R56" s="14"/>
      <c r="S56" s="14"/>
      <c r="T56" s="14"/>
      <c r="U56" s="14"/>
      <c r="V56" s="5"/>
      <c r="W56" s="5"/>
      <c r="X56" s="5"/>
      <c r="Y56" s="5"/>
      <c r="Z56" s="5"/>
      <c r="AA56" s="24"/>
      <c r="AC56" s="24"/>
    </row>
    <row r="57" spans="1:29" x14ac:dyDescent="0.25">
      <c r="A57" s="30"/>
      <c r="B57" s="2"/>
      <c r="C57" s="2"/>
      <c r="D57" s="30"/>
      <c r="E57" s="36"/>
      <c r="F57" s="50"/>
      <c r="G57" s="5"/>
      <c r="H57" s="14"/>
      <c r="I57" s="14" t="s">
        <v>187</v>
      </c>
      <c r="J57" s="14">
        <v>147</v>
      </c>
      <c r="K57" s="15" t="s">
        <v>339</v>
      </c>
      <c r="L57" s="16" t="s">
        <v>9</v>
      </c>
      <c r="M57" s="20" t="s">
        <v>317</v>
      </c>
      <c r="N57" s="19">
        <v>42406.479212962964</v>
      </c>
      <c r="O57" s="19">
        <v>42406.608506944445</v>
      </c>
      <c r="P57" s="17">
        <v>42406.651030092595</v>
      </c>
      <c r="Q57" s="17">
        <v>42406.680509259262</v>
      </c>
      <c r="R57" s="14"/>
      <c r="S57" s="14"/>
      <c r="T57" s="14"/>
      <c r="U57" s="14"/>
      <c r="V57" s="5"/>
      <c r="W57" s="5"/>
      <c r="X57" s="5"/>
      <c r="Y57" s="5"/>
      <c r="Z57" s="5"/>
      <c r="AA57" s="24"/>
      <c r="AC57" s="24"/>
    </row>
    <row r="58" spans="1:29" ht="15.75" thickBot="1" x14ac:dyDescent="0.3">
      <c r="A58" s="31"/>
      <c r="B58" s="5"/>
      <c r="C58" s="5"/>
      <c r="D58" s="31"/>
      <c r="E58" s="37"/>
      <c r="F58" s="52"/>
      <c r="G58" s="5"/>
      <c r="H58" s="14"/>
      <c r="I58" s="14" t="s">
        <v>9</v>
      </c>
      <c r="J58" s="14">
        <v>147</v>
      </c>
      <c r="K58" s="15" t="s">
        <v>339</v>
      </c>
      <c r="L58" s="16" t="s">
        <v>9</v>
      </c>
      <c r="M58" s="20" t="s">
        <v>317</v>
      </c>
      <c r="N58" s="19">
        <v>42406.483715277776</v>
      </c>
      <c r="O58" s="19">
        <v>42406.616840277777</v>
      </c>
      <c r="P58" s="17">
        <v>42406.659363425926</v>
      </c>
      <c r="Q58" s="17">
        <v>42406.6878125</v>
      </c>
      <c r="R58" s="14"/>
      <c r="S58" s="14"/>
      <c r="T58" s="14"/>
      <c r="U58" s="14"/>
      <c r="V58" s="5"/>
      <c r="W58" s="5"/>
      <c r="X58" s="5"/>
      <c r="Y58" s="5"/>
      <c r="Z58" s="5"/>
      <c r="AA58" s="24"/>
      <c r="AC58" s="24"/>
    </row>
    <row r="59" spans="1:29" ht="15.75" thickBot="1" x14ac:dyDescent="0.3">
      <c r="A59" s="30"/>
      <c r="B59" s="2"/>
      <c r="C59" s="2"/>
      <c r="D59" s="30"/>
      <c r="E59" s="36"/>
      <c r="F59" s="50"/>
      <c r="G59" s="5"/>
      <c r="H59" s="14"/>
      <c r="I59" s="123" t="s">
        <v>188</v>
      </c>
      <c r="J59" s="117">
        <v>150</v>
      </c>
      <c r="K59" s="125" t="s">
        <v>339</v>
      </c>
      <c r="L59" s="118" t="s">
        <v>9</v>
      </c>
      <c r="M59" s="119" t="s">
        <v>300</v>
      </c>
      <c r="N59" s="120">
        <v>42406.473043981481</v>
      </c>
      <c r="O59" s="120">
        <v>42406.622395833336</v>
      </c>
      <c r="P59" s="121">
        <v>42406.664918981478</v>
      </c>
      <c r="Q59" s="122">
        <v>42406.703356481485</v>
      </c>
      <c r="R59" s="14"/>
      <c r="S59" s="14"/>
      <c r="T59" s="14"/>
      <c r="U59" s="14"/>
      <c r="V59" s="5"/>
      <c r="W59" s="5"/>
      <c r="X59" s="5"/>
      <c r="Y59" s="5"/>
      <c r="Z59" s="5"/>
      <c r="AA59" s="24"/>
      <c r="AC59" s="24"/>
    </row>
    <row r="60" spans="1:29" x14ac:dyDescent="0.25">
      <c r="A60" s="31"/>
      <c r="B60" s="5"/>
      <c r="C60" s="5"/>
      <c r="D60" s="31"/>
      <c r="E60" s="37"/>
      <c r="F60" s="52"/>
      <c r="G60" s="5"/>
      <c r="H60" s="14"/>
      <c r="I60" s="14" t="s">
        <v>161</v>
      </c>
      <c r="J60" s="14">
        <v>147</v>
      </c>
      <c r="K60" s="15" t="s">
        <v>341</v>
      </c>
      <c r="L60" s="16" t="s">
        <v>9</v>
      </c>
      <c r="M60" s="20" t="s">
        <v>301</v>
      </c>
      <c r="N60" s="19">
        <v>42406.468124999999</v>
      </c>
      <c r="O60" s="19">
        <v>42406.627256944441</v>
      </c>
      <c r="P60" s="17">
        <v>42406.66978009259</v>
      </c>
      <c r="Q60" s="17">
        <v>42406.708425925928</v>
      </c>
      <c r="R60" s="14"/>
      <c r="S60" s="14"/>
      <c r="T60" s="14"/>
      <c r="U60" s="14"/>
      <c r="V60" s="5"/>
      <c r="W60" s="5"/>
      <c r="X60" s="5"/>
      <c r="Y60" s="5"/>
      <c r="Z60" s="5"/>
      <c r="AA60" s="24"/>
      <c r="AC60" s="24"/>
    </row>
    <row r="61" spans="1:29" x14ac:dyDescent="0.25">
      <c r="A61" s="30"/>
      <c r="B61" s="2"/>
      <c r="C61" s="2"/>
      <c r="D61" s="30"/>
      <c r="E61" s="36"/>
      <c r="F61" s="50"/>
      <c r="G61" s="5"/>
      <c r="H61" s="14"/>
      <c r="I61" s="14" t="s">
        <v>313</v>
      </c>
      <c r="J61" s="14">
        <v>144</v>
      </c>
      <c r="K61" s="15" t="s">
        <v>341</v>
      </c>
      <c r="L61" s="16" t="s">
        <v>9</v>
      </c>
      <c r="M61" s="20" t="s">
        <v>315</v>
      </c>
      <c r="N61" s="19">
        <v>42406.484675925924</v>
      </c>
      <c r="O61" s="19">
        <v>42406.64947916667</v>
      </c>
      <c r="P61" s="17">
        <v>42406.692002314812</v>
      </c>
      <c r="Q61" s="17">
        <v>42406.699826388889</v>
      </c>
      <c r="R61" s="14"/>
      <c r="S61" s="14"/>
      <c r="T61" s="14"/>
      <c r="U61" s="14"/>
      <c r="V61" s="5"/>
      <c r="W61" s="5"/>
      <c r="X61" s="5"/>
      <c r="Y61" s="5"/>
      <c r="Z61" s="5"/>
      <c r="AA61" s="24"/>
      <c r="AC61" s="24"/>
    </row>
    <row r="62" spans="1:29" ht="15.75" thickBot="1" x14ac:dyDescent="0.3">
      <c r="A62" s="31"/>
      <c r="B62" s="5"/>
      <c r="C62" s="5"/>
      <c r="D62" s="31"/>
      <c r="E62" s="37"/>
      <c r="F62" s="52"/>
      <c r="G62" s="5"/>
      <c r="H62" s="14"/>
      <c r="I62" s="14" t="s">
        <v>314</v>
      </c>
      <c r="J62" s="14">
        <v>147</v>
      </c>
      <c r="K62" s="15" t="s">
        <v>341</v>
      </c>
      <c r="L62" s="16" t="s">
        <v>9</v>
      </c>
      <c r="M62" s="20" t="s">
        <v>301</v>
      </c>
      <c r="N62" s="19">
        <v>42406.471122685187</v>
      </c>
      <c r="O62" s="19">
        <v>42406.654340277775</v>
      </c>
      <c r="P62" s="17">
        <v>42406.696863425925</v>
      </c>
      <c r="Q62" s="17">
        <v>42406.71334490741</v>
      </c>
      <c r="R62" s="14"/>
      <c r="S62" s="14"/>
      <c r="T62" s="14"/>
      <c r="U62" s="14"/>
      <c r="V62" s="5"/>
      <c r="W62" s="5"/>
      <c r="X62" s="5"/>
      <c r="Y62" s="5"/>
      <c r="Z62" s="5"/>
      <c r="AA62" s="24"/>
      <c r="AC62" s="24"/>
    </row>
    <row r="63" spans="1:29" ht="15.75" thickBot="1" x14ac:dyDescent="0.3">
      <c r="A63" s="30"/>
      <c r="B63" s="2"/>
      <c r="C63" s="2"/>
      <c r="D63" s="30"/>
      <c r="E63" s="36"/>
      <c r="F63" s="50"/>
      <c r="G63" s="5"/>
      <c r="H63" s="14"/>
      <c r="I63" s="123" t="s">
        <v>160</v>
      </c>
      <c r="J63" s="117">
        <v>147</v>
      </c>
      <c r="K63" s="125" t="s">
        <v>341</v>
      </c>
      <c r="L63" s="118" t="s">
        <v>9</v>
      </c>
      <c r="M63" s="119" t="s">
        <v>301</v>
      </c>
      <c r="N63" s="120">
        <v>42406.471122685187</v>
      </c>
      <c r="O63" s="120">
        <v>42406.659895833334</v>
      </c>
      <c r="P63" s="121">
        <v>42406.702418981484</v>
      </c>
      <c r="Q63" s="122">
        <v>42406.71334490741</v>
      </c>
      <c r="R63" s="14"/>
      <c r="S63" s="14"/>
      <c r="T63" s="14"/>
      <c r="U63" s="14"/>
      <c r="V63" s="5"/>
      <c r="W63" s="5"/>
      <c r="X63" s="5"/>
      <c r="Y63" s="5"/>
      <c r="Z63" s="5"/>
      <c r="AA63" s="24"/>
      <c r="AC63" s="24"/>
    </row>
    <row r="64" spans="1:29" x14ac:dyDescent="0.25">
      <c r="A64" s="31"/>
      <c r="B64" s="5"/>
      <c r="C64" s="5"/>
      <c r="D64" s="31"/>
      <c r="E64" s="37"/>
      <c r="F64" s="52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  <c r="AA64" s="24"/>
      <c r="AC64" s="24"/>
    </row>
    <row r="65" spans="1:29" ht="15.75" thickBot="1" x14ac:dyDescent="0.3">
      <c r="A65" s="30"/>
      <c r="B65" s="2"/>
      <c r="C65" s="2"/>
      <c r="D65" s="30"/>
      <c r="E65" s="36"/>
      <c r="F65" s="50"/>
      <c r="G65" s="5"/>
      <c r="H65" s="14"/>
      <c r="I65" s="69" t="s">
        <v>212</v>
      </c>
      <c r="J65" s="69"/>
      <c r="K65" s="126"/>
      <c r="L65" s="114"/>
      <c r="M65" s="127"/>
      <c r="N65" s="115"/>
      <c r="O65" s="115"/>
      <c r="P65" s="116"/>
      <c r="Q65" s="116"/>
      <c r="R65" s="14"/>
      <c r="S65" s="14"/>
      <c r="T65" s="14"/>
      <c r="U65" s="14"/>
      <c r="V65" s="5"/>
      <c r="W65" s="5"/>
      <c r="X65" s="5"/>
      <c r="Y65" s="5"/>
      <c r="Z65" s="5"/>
      <c r="AA65" s="24"/>
      <c r="AC65" s="24"/>
    </row>
    <row r="66" spans="1:29" x14ac:dyDescent="0.25">
      <c r="A66" s="31"/>
      <c r="B66" s="5"/>
      <c r="C66" s="5"/>
      <c r="D66" s="31"/>
      <c r="E66" s="37"/>
      <c r="F66" s="52"/>
      <c r="G66" s="5"/>
      <c r="H66" s="14"/>
      <c r="I66" s="14" t="s">
        <v>213</v>
      </c>
      <c r="J66" s="14"/>
      <c r="K66" s="15" t="s">
        <v>214</v>
      </c>
      <c r="L66" s="16"/>
      <c r="M66" s="20" t="s">
        <v>215</v>
      </c>
      <c r="N66" s="19"/>
      <c r="O66" s="19" t="s">
        <v>216</v>
      </c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  <c r="AA66" s="24"/>
      <c r="AC66" s="24"/>
    </row>
    <row r="67" spans="1:29" x14ac:dyDescent="0.25">
      <c r="A67" s="30"/>
      <c r="B67" s="2"/>
      <c r="C67" s="2"/>
      <c r="D67" s="30"/>
      <c r="E67" s="36"/>
      <c r="F67" s="50"/>
      <c r="G67" s="5"/>
      <c r="H67" s="14"/>
      <c r="I67" s="14" t="s">
        <v>295</v>
      </c>
      <c r="J67" s="14"/>
      <c r="K67" s="15" t="s">
        <v>296</v>
      </c>
      <c r="L67" s="16"/>
      <c r="M67" s="20" t="s">
        <v>297</v>
      </c>
      <c r="N67" s="19"/>
      <c r="O67" s="19" t="s">
        <v>298</v>
      </c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  <c r="AA67" s="25"/>
      <c r="AC67" s="24"/>
    </row>
    <row r="68" spans="1:29" x14ac:dyDescent="0.25">
      <c r="A68" s="31"/>
      <c r="B68" s="5"/>
      <c r="C68" s="5"/>
      <c r="D68" s="31"/>
      <c r="E68" s="37"/>
      <c r="F68" s="52"/>
      <c r="G68" s="5"/>
      <c r="H68" s="14"/>
      <c r="I68" s="27" t="s">
        <v>318</v>
      </c>
      <c r="J68" s="14"/>
      <c r="K68" s="15" t="s">
        <v>321</v>
      </c>
      <c r="L68" s="16"/>
      <c r="M68" s="20" t="s">
        <v>324</v>
      </c>
      <c r="N68" s="16"/>
      <c r="O68" s="19" t="s">
        <v>327</v>
      </c>
      <c r="P68" s="16"/>
      <c r="Q68" s="17"/>
      <c r="R68" s="27"/>
      <c r="S68" s="14"/>
      <c r="T68" s="14"/>
      <c r="U68" s="14"/>
      <c r="V68" s="5"/>
      <c r="W68" s="5"/>
      <c r="X68" s="5"/>
      <c r="Y68" s="5"/>
      <c r="Z68" s="5"/>
      <c r="AA68" s="24"/>
      <c r="AC68" s="24"/>
    </row>
    <row r="69" spans="1:29" x14ac:dyDescent="0.25">
      <c r="A69" s="30"/>
      <c r="B69" s="2"/>
      <c r="C69" s="2"/>
      <c r="D69" s="30"/>
      <c r="E69" s="36"/>
      <c r="F69" s="50"/>
      <c r="G69" s="5"/>
      <c r="H69" s="14"/>
      <c r="I69" s="14" t="s">
        <v>319</v>
      </c>
      <c r="J69" s="14"/>
      <c r="K69" s="15" t="s">
        <v>322</v>
      </c>
      <c r="L69" s="16"/>
      <c r="M69" s="20" t="s">
        <v>325</v>
      </c>
      <c r="N69" s="16"/>
      <c r="O69" s="19" t="s">
        <v>328</v>
      </c>
      <c r="P69" s="16"/>
      <c r="Q69" s="17"/>
      <c r="R69" s="14"/>
      <c r="S69" s="14"/>
      <c r="T69" s="14"/>
      <c r="U69" s="14"/>
      <c r="V69" s="5"/>
      <c r="W69" s="5"/>
      <c r="X69" s="5"/>
      <c r="Y69" s="5"/>
      <c r="Z69" s="5"/>
      <c r="AA69" s="24"/>
      <c r="AC69" s="24"/>
    </row>
    <row r="70" spans="1:29" x14ac:dyDescent="0.25">
      <c r="A70" s="31"/>
      <c r="B70" s="5"/>
      <c r="C70" s="5"/>
      <c r="D70" s="31"/>
      <c r="E70" s="37"/>
      <c r="F70" s="52"/>
      <c r="G70" s="5"/>
      <c r="H70" s="14"/>
      <c r="I70" s="14" t="s">
        <v>320</v>
      </c>
      <c r="J70" s="14" t="s">
        <v>293</v>
      </c>
      <c r="K70" s="15" t="s">
        <v>323</v>
      </c>
      <c r="L70" s="16" t="s">
        <v>293</v>
      </c>
      <c r="M70" s="20" t="s">
        <v>326</v>
      </c>
      <c r="N70" s="16" t="s">
        <v>293</v>
      </c>
      <c r="O70" s="19" t="s">
        <v>329</v>
      </c>
      <c r="P70" s="16" t="s">
        <v>293</v>
      </c>
      <c r="Q70" s="17"/>
      <c r="R70" s="14"/>
      <c r="S70" s="14"/>
      <c r="T70" s="14"/>
      <c r="U70" s="14"/>
      <c r="V70" s="5"/>
      <c r="W70" s="5"/>
      <c r="X70" s="5"/>
      <c r="Y70" s="5"/>
      <c r="Z70" s="5"/>
      <c r="AA70" s="24"/>
      <c r="AC70" s="24"/>
    </row>
    <row r="71" spans="1:29" x14ac:dyDescent="0.25">
      <c r="A71" s="30"/>
      <c r="B71" s="2"/>
      <c r="C71" s="2"/>
      <c r="D71" s="30"/>
      <c r="E71" s="36"/>
      <c r="F71" s="50"/>
      <c r="G71" s="5"/>
      <c r="H71" s="14"/>
      <c r="I71" s="27" t="s">
        <v>303</v>
      </c>
      <c r="J71" s="14" t="s">
        <v>294</v>
      </c>
      <c r="K71" s="15" t="s">
        <v>305</v>
      </c>
      <c r="L71" s="16" t="s">
        <v>306</v>
      </c>
      <c r="M71" s="20" t="s">
        <v>308</v>
      </c>
      <c r="N71" s="16" t="s">
        <v>306</v>
      </c>
      <c r="O71" s="19" t="s">
        <v>310</v>
      </c>
      <c r="P71" s="16" t="s">
        <v>294</v>
      </c>
      <c r="Q71" s="17"/>
      <c r="R71" s="27"/>
      <c r="S71" s="14"/>
      <c r="T71" s="14"/>
      <c r="U71" s="14"/>
      <c r="V71" s="5"/>
      <c r="W71" s="5"/>
      <c r="X71" s="5"/>
      <c r="Y71" s="5"/>
      <c r="Z71" s="5"/>
      <c r="AA71" s="24"/>
      <c r="AC71" s="24"/>
    </row>
    <row r="72" spans="1:29" x14ac:dyDescent="0.25">
      <c r="A72" s="31"/>
      <c r="B72" s="5"/>
      <c r="C72" s="5"/>
      <c r="D72" s="31"/>
      <c r="E72" s="37"/>
      <c r="F72" s="52"/>
      <c r="G72" s="5"/>
      <c r="H72" s="14"/>
      <c r="I72" s="14" t="s">
        <v>304</v>
      </c>
      <c r="J72" s="14" t="s">
        <v>242</v>
      </c>
      <c r="K72" s="15" t="s">
        <v>307</v>
      </c>
      <c r="L72" s="16" t="s">
        <v>294</v>
      </c>
      <c r="M72" s="20" t="s">
        <v>309</v>
      </c>
      <c r="N72" s="16" t="s">
        <v>294</v>
      </c>
      <c r="O72" s="19" t="s">
        <v>311</v>
      </c>
      <c r="P72" s="16" t="s">
        <v>306</v>
      </c>
      <c r="Q72" s="17"/>
      <c r="R72" s="14"/>
      <c r="S72" s="14"/>
      <c r="T72" s="14"/>
      <c r="U72" s="14"/>
      <c r="V72" s="5"/>
      <c r="W72" s="5"/>
      <c r="X72" s="5"/>
      <c r="Y72" s="5"/>
      <c r="Z72" s="5"/>
      <c r="AA72" s="24"/>
      <c r="AC72" s="24"/>
    </row>
    <row r="73" spans="1:29" x14ac:dyDescent="0.25">
      <c r="A73" s="30"/>
      <c r="B73" s="2"/>
      <c r="C73" s="2"/>
      <c r="D73" s="30"/>
      <c r="E73" s="36"/>
      <c r="F73" s="50"/>
      <c r="G73" s="5"/>
      <c r="H73" s="14"/>
      <c r="I73" s="14"/>
      <c r="J73" s="14"/>
      <c r="K73" s="15"/>
      <c r="L73" s="16"/>
      <c r="M73" s="20"/>
      <c r="N73" s="16"/>
      <c r="O73" s="19"/>
      <c r="P73" s="16"/>
      <c r="Q73" s="17"/>
      <c r="R73" s="14"/>
      <c r="S73" s="14"/>
      <c r="T73" s="14"/>
      <c r="U73" s="14"/>
      <c r="V73" s="5"/>
      <c r="W73" s="5"/>
      <c r="X73" s="5"/>
      <c r="Y73" s="5"/>
      <c r="Z73" s="5"/>
      <c r="AA73" s="24"/>
      <c r="AC73" s="24"/>
    </row>
    <row r="74" spans="1:29" x14ac:dyDescent="0.25">
      <c r="A74" s="31"/>
      <c r="B74" s="5"/>
      <c r="C74" s="5"/>
      <c r="D74" s="31"/>
      <c r="E74" s="37"/>
      <c r="F74" s="52"/>
      <c r="G74" s="5"/>
      <c r="H74" s="14"/>
      <c r="I74" s="27"/>
      <c r="J74" s="14"/>
      <c r="K74" s="15"/>
      <c r="L74" s="16"/>
      <c r="M74" s="20"/>
      <c r="N74" s="16"/>
      <c r="O74" s="19"/>
      <c r="P74" s="16"/>
      <c r="Q74" s="17"/>
      <c r="R74" s="27"/>
      <c r="S74" s="14"/>
      <c r="T74" s="14"/>
      <c r="U74" s="14"/>
      <c r="V74" s="5"/>
      <c r="W74" s="5"/>
      <c r="X74" s="5"/>
      <c r="Y74" s="5"/>
      <c r="Z74" s="5"/>
      <c r="AA74" s="24"/>
      <c r="AC74" s="24"/>
    </row>
    <row r="75" spans="1:29" x14ac:dyDescent="0.25">
      <c r="A75" s="30"/>
      <c r="B75" s="2"/>
      <c r="C75" s="2"/>
      <c r="D75" s="30"/>
      <c r="E75" s="36"/>
      <c r="F75" s="50"/>
      <c r="G75" s="5"/>
      <c r="H75" s="14"/>
      <c r="I75" s="14"/>
      <c r="J75" s="14"/>
      <c r="K75" s="15"/>
      <c r="L75" s="16"/>
      <c r="M75" s="20"/>
      <c r="N75" s="16"/>
      <c r="O75" s="19"/>
      <c r="P75" s="16"/>
      <c r="Q75" s="17"/>
      <c r="R75" s="14"/>
      <c r="S75" s="14"/>
      <c r="T75" s="14"/>
      <c r="U75" s="14"/>
      <c r="V75" s="5"/>
      <c r="W75" s="5"/>
      <c r="X75" s="5"/>
      <c r="Y75" s="5"/>
      <c r="Z75" s="5"/>
      <c r="AA75" s="24"/>
      <c r="AC75" s="24"/>
    </row>
    <row r="76" spans="1:29" x14ac:dyDescent="0.25">
      <c r="A76" s="31"/>
      <c r="B76" s="5"/>
      <c r="C76" s="5"/>
      <c r="D76" s="31"/>
      <c r="E76" s="37"/>
      <c r="F76" s="52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  <c r="AA76" s="24"/>
      <c r="AC76" s="24"/>
    </row>
    <row r="77" spans="1:29" x14ac:dyDescent="0.25">
      <c r="A77" s="30"/>
      <c r="B77" s="2"/>
      <c r="C77" s="2"/>
      <c r="D77" s="30"/>
      <c r="E77" s="36"/>
      <c r="F77" s="50"/>
      <c r="G77" s="5"/>
      <c r="H77" s="14"/>
      <c r="I77" s="27"/>
      <c r="J77" s="14"/>
      <c r="K77" s="15"/>
      <c r="L77" s="16"/>
      <c r="M77" s="20"/>
      <c r="N77" s="19"/>
      <c r="O77" s="19"/>
      <c r="P77" s="17"/>
      <c r="Q77" s="17"/>
      <c r="R77" s="27"/>
      <c r="S77" s="14"/>
      <c r="T77" s="14"/>
      <c r="U77" s="14"/>
      <c r="V77" s="5"/>
      <c r="W77" s="5"/>
      <c r="X77" s="5"/>
      <c r="Y77" s="5"/>
      <c r="Z77" s="5"/>
      <c r="AA77" s="24"/>
      <c r="AC77" s="24"/>
    </row>
    <row r="78" spans="1:29" x14ac:dyDescent="0.25">
      <c r="A78" s="31"/>
      <c r="B78" s="5"/>
      <c r="C78" s="5"/>
      <c r="D78" s="31"/>
      <c r="E78" s="37"/>
      <c r="F78" s="52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  <c r="AA78" s="24"/>
      <c r="AC78" s="24"/>
    </row>
    <row r="79" spans="1:29" x14ac:dyDescent="0.25">
      <c r="A79" s="30"/>
      <c r="B79" s="2"/>
      <c r="C79" s="2"/>
      <c r="D79" s="30"/>
      <c r="E79" s="36"/>
      <c r="F79" s="50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  <c r="AA79" s="24"/>
      <c r="AC79" s="24"/>
    </row>
    <row r="80" spans="1:29" x14ac:dyDescent="0.25">
      <c r="A80" s="31"/>
      <c r="B80" s="5"/>
      <c r="C80" s="5"/>
      <c r="D80" s="31"/>
      <c r="E80" s="37"/>
      <c r="F80" s="52"/>
      <c r="G80" s="5"/>
      <c r="H80" s="14"/>
      <c r="I80" s="27"/>
      <c r="J80" s="14"/>
      <c r="K80" s="15"/>
      <c r="L80" s="16"/>
      <c r="M80" s="20"/>
      <c r="N80" s="19"/>
      <c r="O80" s="19"/>
      <c r="P80" s="17"/>
      <c r="Q80" s="17"/>
      <c r="R80" s="27"/>
      <c r="S80" s="14"/>
      <c r="T80" s="14"/>
      <c r="U80" s="14"/>
      <c r="V80" s="5"/>
      <c r="W80" s="5"/>
      <c r="X80" s="5"/>
      <c r="Y80" s="5"/>
      <c r="Z80" s="5"/>
      <c r="AA80" s="24"/>
      <c r="AC80" s="24"/>
    </row>
    <row r="81" spans="1:29" x14ac:dyDescent="0.25">
      <c r="A81" s="30"/>
      <c r="B81" s="2"/>
      <c r="C81" s="2"/>
      <c r="D81" s="30"/>
      <c r="E81" s="36"/>
      <c r="F81" s="50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  <c r="AA81" s="24"/>
      <c r="AC81" s="24"/>
    </row>
    <row r="82" spans="1:29" x14ac:dyDescent="0.25">
      <c r="A82" s="31"/>
      <c r="B82" s="5"/>
      <c r="C82" s="5"/>
      <c r="D82" s="31"/>
      <c r="E82" s="37"/>
      <c r="F82" s="52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  <c r="AA82" s="24"/>
      <c r="AC82" s="24"/>
    </row>
    <row r="83" spans="1:29" x14ac:dyDescent="0.25">
      <c r="A83" s="30"/>
      <c r="B83" s="2"/>
      <c r="C83" s="2"/>
      <c r="D83" s="30"/>
      <c r="E83" s="36"/>
      <c r="F83" s="50"/>
      <c r="G83" s="5"/>
      <c r="H83" s="14"/>
      <c r="I83" s="27"/>
      <c r="J83" s="14"/>
      <c r="K83" s="15"/>
      <c r="L83" s="16"/>
      <c r="M83" s="20"/>
      <c r="N83" s="19"/>
      <c r="O83" s="19"/>
      <c r="P83" s="17"/>
      <c r="Q83" s="17"/>
      <c r="R83" s="27"/>
      <c r="S83" s="14"/>
      <c r="T83" s="14"/>
      <c r="U83" s="14"/>
      <c r="V83" s="5"/>
      <c r="W83" s="5"/>
      <c r="X83" s="5"/>
      <c r="Y83" s="5"/>
      <c r="Z83" s="5"/>
      <c r="AA83" s="24"/>
      <c r="AC83" s="24"/>
    </row>
    <row r="84" spans="1:29" x14ac:dyDescent="0.25">
      <c r="A84" s="31"/>
      <c r="B84" s="5"/>
      <c r="C84" s="5"/>
      <c r="D84" s="31"/>
      <c r="E84" s="37"/>
      <c r="F84" s="52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  <c r="AA84" s="24"/>
      <c r="AC84" s="24"/>
    </row>
    <row r="85" spans="1:29" x14ac:dyDescent="0.25">
      <c r="A85" s="30"/>
      <c r="B85" s="2"/>
      <c r="C85" s="2"/>
      <c r="D85" s="30"/>
      <c r="E85" s="36"/>
      <c r="F85" s="50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  <c r="AA85" s="24"/>
      <c r="AC85" s="24"/>
    </row>
    <row r="86" spans="1:29" x14ac:dyDescent="0.25">
      <c r="A86" s="31"/>
      <c r="B86" s="5"/>
      <c r="C86" s="5"/>
      <c r="D86" s="31"/>
      <c r="E86" s="37"/>
      <c r="F86" s="52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  <c r="AA86" s="24"/>
      <c r="AC86" s="24"/>
    </row>
    <row r="87" spans="1:29" x14ac:dyDescent="0.25">
      <c r="A87" s="30"/>
      <c r="B87" s="2"/>
      <c r="C87" s="2"/>
      <c r="D87" s="30"/>
      <c r="E87" s="36"/>
      <c r="F87" s="50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  <c r="AA87" s="24"/>
      <c r="AC87" s="24"/>
    </row>
    <row r="88" spans="1:29" x14ac:dyDescent="0.25">
      <c r="A88" s="31"/>
      <c r="B88" s="5"/>
      <c r="C88" s="5"/>
      <c r="D88" s="31"/>
      <c r="E88" s="37"/>
      <c r="F88" s="52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  <c r="AA88" s="24"/>
      <c r="AC88" s="24"/>
    </row>
    <row r="89" spans="1:29" x14ac:dyDescent="0.25">
      <c r="A89" s="30"/>
      <c r="B89" s="2"/>
      <c r="C89" s="2"/>
      <c r="D89" s="30"/>
      <c r="E89" s="36"/>
      <c r="F89" s="50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  <c r="AA89" s="24"/>
      <c r="AC89" s="24"/>
    </row>
    <row r="90" spans="1:29" x14ac:dyDescent="0.25">
      <c r="A90" s="31"/>
      <c r="B90" s="5"/>
      <c r="C90" s="5"/>
      <c r="D90" s="31"/>
      <c r="E90" s="37"/>
      <c r="F90" s="52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  <c r="AA90" s="24"/>
      <c r="AC90" s="24"/>
    </row>
    <row r="91" spans="1:29" x14ac:dyDescent="0.25">
      <c r="A91" s="30"/>
      <c r="B91" s="2"/>
      <c r="C91" s="2"/>
      <c r="D91" s="30"/>
      <c r="E91" s="36"/>
      <c r="F91" s="50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  <c r="AA91" s="24"/>
      <c r="AC91" s="24"/>
    </row>
    <row r="92" spans="1:29" x14ac:dyDescent="0.25">
      <c r="A92" s="31"/>
      <c r="B92" s="5"/>
      <c r="C92" s="5"/>
      <c r="D92" s="31"/>
      <c r="E92" s="37"/>
      <c r="F92" s="52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  <c r="AA92" s="24"/>
      <c r="AC92" s="24"/>
    </row>
    <row r="93" spans="1:29" x14ac:dyDescent="0.25">
      <c r="A93" s="30"/>
      <c r="B93" s="2"/>
      <c r="C93" s="2"/>
      <c r="D93" s="30"/>
      <c r="E93" s="36"/>
      <c r="F93" s="50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  <c r="AA93" s="24"/>
      <c r="AC93" s="24"/>
    </row>
    <row r="94" spans="1:29" x14ac:dyDescent="0.25">
      <c r="A94" s="31"/>
      <c r="B94" s="5"/>
      <c r="C94" s="5"/>
      <c r="D94" s="31"/>
      <c r="E94" s="37"/>
      <c r="F94" s="52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  <c r="AA94" s="24"/>
      <c r="AC94" s="24"/>
    </row>
    <row r="95" spans="1:29" x14ac:dyDescent="0.25">
      <c r="A95" s="30"/>
      <c r="B95" s="2"/>
      <c r="C95" s="2"/>
      <c r="D95" s="30"/>
      <c r="E95" s="36"/>
      <c r="F95" s="50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  <c r="AA95" s="24"/>
      <c r="AC95" s="24"/>
    </row>
    <row r="96" spans="1:29" x14ac:dyDescent="0.25">
      <c r="A96" s="31"/>
      <c r="B96" s="5"/>
      <c r="C96" s="5"/>
      <c r="D96" s="31"/>
      <c r="E96" s="37"/>
      <c r="F96" s="52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  <c r="AA96" s="24"/>
      <c r="AC96" s="24"/>
    </row>
    <row r="97" spans="1:29" x14ac:dyDescent="0.25">
      <c r="A97" s="30"/>
      <c r="B97" s="2"/>
      <c r="C97" s="2"/>
      <c r="D97" s="30"/>
      <c r="E97" s="36"/>
      <c r="F97" s="50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  <c r="AA97" s="24"/>
      <c r="AC97" s="24"/>
    </row>
    <row r="98" spans="1:29" x14ac:dyDescent="0.25">
      <c r="A98" s="31"/>
      <c r="B98" s="5"/>
      <c r="C98" s="5"/>
      <c r="D98" s="31"/>
      <c r="E98" s="37"/>
      <c r="F98" s="52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  <c r="AA98" s="24"/>
      <c r="AC98" s="24"/>
    </row>
    <row r="99" spans="1:29" x14ac:dyDescent="0.25">
      <c r="A99" s="30"/>
      <c r="B99" s="2"/>
      <c r="C99" s="2"/>
      <c r="D99" s="30"/>
      <c r="E99" s="36"/>
      <c r="F99" s="50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  <c r="AA99" s="24"/>
      <c r="AC99" s="24"/>
    </row>
    <row r="100" spans="1:29" x14ac:dyDescent="0.25">
      <c r="A100" s="31"/>
      <c r="B100" s="5"/>
      <c r="C100" s="5"/>
      <c r="D100" s="31"/>
      <c r="E100" s="37"/>
      <c r="F100" s="52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  <c r="AA100" s="24"/>
      <c r="AC100" s="24"/>
    </row>
    <row r="101" spans="1:29" x14ac:dyDescent="0.25">
      <c r="A101" s="31"/>
      <c r="B101" s="5"/>
      <c r="C101" s="5"/>
      <c r="D101" s="31"/>
      <c r="E101" s="37"/>
      <c r="F101" s="52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  <c r="AA101" s="24"/>
      <c r="AC101" s="24"/>
    </row>
    <row r="102" spans="1:29" x14ac:dyDescent="0.25">
      <c r="A102" s="30"/>
      <c r="B102" s="2"/>
      <c r="C102" s="2"/>
      <c r="D102" s="30"/>
      <c r="E102" s="36"/>
      <c r="F102" s="50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  <c r="AA102" s="24"/>
      <c r="AC102" s="24"/>
    </row>
    <row r="103" spans="1:29" x14ac:dyDescent="0.25">
      <c r="A103" s="31"/>
      <c r="B103" s="5"/>
      <c r="C103" s="5"/>
      <c r="D103" s="31"/>
      <c r="E103" s="37"/>
      <c r="F103" s="52"/>
      <c r="G103" s="5"/>
      <c r="H103" s="14"/>
      <c r="I103" s="14"/>
      <c r="J103" s="14"/>
      <c r="K103" s="15"/>
      <c r="L103" s="16"/>
      <c r="M103" s="20"/>
      <c r="N103" s="19"/>
      <c r="O103" s="19"/>
      <c r="P103" s="17"/>
      <c r="Q103" s="17"/>
      <c r="R103" s="14"/>
      <c r="S103" s="14"/>
      <c r="T103" s="14"/>
      <c r="U103" s="14"/>
      <c r="V103" s="5"/>
      <c r="W103" s="5"/>
      <c r="X103" s="5"/>
      <c r="Y103" s="5"/>
      <c r="Z103" s="5"/>
      <c r="AA103" s="24"/>
      <c r="AC103" s="24"/>
    </row>
    <row r="104" spans="1:29" x14ac:dyDescent="0.25">
      <c r="A104" s="30"/>
      <c r="B104" s="2"/>
      <c r="C104" s="2"/>
      <c r="D104" s="30"/>
      <c r="E104" s="36"/>
      <c r="F104" s="50"/>
      <c r="G104" s="5"/>
      <c r="H104" s="14"/>
      <c r="I104" s="14"/>
      <c r="J104" s="14"/>
      <c r="K104" s="15"/>
      <c r="L104" s="16"/>
      <c r="M104" s="20"/>
      <c r="N104" s="19"/>
      <c r="O104" s="19"/>
      <c r="P104" s="17"/>
      <c r="Q104" s="17"/>
      <c r="R104" s="14"/>
      <c r="S104" s="14"/>
      <c r="T104" s="14"/>
      <c r="U104" s="14"/>
      <c r="V104" s="5"/>
      <c r="W104" s="5"/>
      <c r="X104" s="5"/>
      <c r="Y104" s="5"/>
      <c r="Z104" s="5"/>
      <c r="AA104" s="24"/>
      <c r="AC104" s="24"/>
    </row>
    <row r="105" spans="1:29" x14ac:dyDescent="0.25">
      <c r="A105" s="31"/>
      <c r="B105" s="5"/>
      <c r="C105" s="5"/>
      <c r="D105" s="31"/>
      <c r="E105" s="37"/>
      <c r="F105" s="52"/>
      <c r="V105" s="1"/>
      <c r="W105" s="1"/>
      <c r="X105" s="1"/>
      <c r="Y105" s="1"/>
      <c r="Z105" s="1"/>
      <c r="AA105" s="24"/>
      <c r="AC105" s="24"/>
    </row>
    <row r="106" spans="1:29" x14ac:dyDescent="0.25">
      <c r="A106" s="30"/>
      <c r="B106" s="2"/>
      <c r="C106" s="2"/>
      <c r="D106" s="30"/>
      <c r="E106" s="36"/>
      <c r="F106" s="50"/>
      <c r="V106" s="1"/>
      <c r="W106" s="1"/>
      <c r="X106" s="1"/>
      <c r="Y106" s="1"/>
      <c r="Z106" s="1"/>
      <c r="AA106" s="24"/>
      <c r="AC106" s="24"/>
    </row>
    <row r="107" spans="1:29" x14ac:dyDescent="0.25">
      <c r="A107" s="31"/>
      <c r="B107" s="5"/>
      <c r="C107" s="5"/>
      <c r="D107" s="31"/>
      <c r="E107" s="37"/>
      <c r="F107" s="52"/>
      <c r="AA107" s="24"/>
      <c r="AC107" s="24"/>
    </row>
    <row r="108" spans="1:29" x14ac:dyDescent="0.25">
      <c r="A108" s="30"/>
      <c r="B108" s="2"/>
      <c r="C108" s="2"/>
      <c r="D108" s="30"/>
      <c r="E108" s="36"/>
      <c r="F108" s="50"/>
      <c r="AA108" s="24"/>
      <c r="AC108" s="24"/>
    </row>
    <row r="109" spans="1:29" x14ac:dyDescent="0.25">
      <c r="A109" s="31"/>
      <c r="B109" s="5"/>
      <c r="C109" s="5"/>
      <c r="D109" s="31"/>
      <c r="E109" s="37"/>
      <c r="F109" s="52"/>
      <c r="AA109" s="24"/>
      <c r="AC109" s="24"/>
    </row>
    <row r="110" spans="1:29" x14ac:dyDescent="0.25">
      <c r="A110" s="30"/>
      <c r="B110" s="2"/>
      <c r="C110" s="2"/>
      <c r="D110" s="30"/>
      <c r="E110" s="36"/>
      <c r="F110" s="50"/>
      <c r="AA110" s="24"/>
      <c r="AC110" s="24"/>
    </row>
    <row r="111" spans="1:29" x14ac:dyDescent="0.25">
      <c r="A111" s="31"/>
      <c r="B111" s="5"/>
      <c r="C111" s="5"/>
      <c r="D111" s="31"/>
      <c r="E111" s="37"/>
      <c r="F111" s="52"/>
      <c r="AA111" s="24"/>
      <c r="AC111" s="24"/>
    </row>
    <row r="112" spans="1:29" x14ac:dyDescent="0.25">
      <c r="AA112" s="24"/>
      <c r="AC112" s="24"/>
    </row>
    <row r="113" spans="27:29" x14ac:dyDescent="0.25">
      <c r="AA113" s="24"/>
      <c r="AC113" s="24"/>
    </row>
    <row r="114" spans="27:29" x14ac:dyDescent="0.25">
      <c r="AA114" s="24"/>
      <c r="AC114" s="24"/>
    </row>
    <row r="115" spans="27:29" x14ac:dyDescent="0.25">
      <c r="AA115" s="24"/>
      <c r="AC115" s="24"/>
    </row>
    <row r="116" spans="27:29" x14ac:dyDescent="0.25">
      <c r="AA116" s="24"/>
      <c r="AC116" s="24"/>
    </row>
    <row r="117" spans="27:29" x14ac:dyDescent="0.25">
      <c r="AA117" s="24"/>
      <c r="AC117" s="24"/>
    </row>
    <row r="118" spans="27:29" x14ac:dyDescent="0.25">
      <c r="AA118" s="24"/>
      <c r="AC118" s="24"/>
    </row>
    <row r="119" spans="27:29" x14ac:dyDescent="0.25">
      <c r="AA119" s="24"/>
      <c r="AC119" s="24"/>
    </row>
    <row r="120" spans="27:29" x14ac:dyDescent="0.25">
      <c r="AA120" s="24"/>
      <c r="AC120" s="24"/>
    </row>
    <row r="121" spans="27:29" x14ac:dyDescent="0.25">
      <c r="AA121" s="24"/>
      <c r="AC121" s="24"/>
    </row>
    <row r="122" spans="27:29" x14ac:dyDescent="0.25">
      <c r="AA122" s="24"/>
      <c r="AC122" s="24"/>
    </row>
    <row r="123" spans="27:29" x14ac:dyDescent="0.25">
      <c r="AA123" s="24"/>
      <c r="AC123" s="24"/>
    </row>
    <row r="124" spans="27:29" x14ac:dyDescent="0.25">
      <c r="AA124" s="24"/>
      <c r="AC124" s="24"/>
    </row>
    <row r="125" spans="27:29" x14ac:dyDescent="0.25">
      <c r="AA125" s="24"/>
      <c r="AC125" s="24"/>
    </row>
    <row r="126" spans="27:29" x14ac:dyDescent="0.25">
      <c r="AA126" s="24"/>
      <c r="AC126" s="24"/>
    </row>
    <row r="127" spans="27:29" x14ac:dyDescent="0.25">
      <c r="AA127" s="24"/>
      <c r="AC127" s="24"/>
    </row>
    <row r="128" spans="27:29" x14ac:dyDescent="0.25">
      <c r="AA128" s="24"/>
      <c r="AC128" s="24"/>
    </row>
    <row r="129" spans="27:29" x14ac:dyDescent="0.25">
      <c r="AA129" s="24"/>
      <c r="AC129" s="24"/>
    </row>
    <row r="130" spans="27:29" x14ac:dyDescent="0.25">
      <c r="AA130" s="24"/>
      <c r="AC130" s="24"/>
    </row>
    <row r="131" spans="27:29" x14ac:dyDescent="0.25">
      <c r="AA131" s="24"/>
      <c r="AC131" s="24"/>
    </row>
    <row r="132" spans="27:29" x14ac:dyDescent="0.25">
      <c r="AA132" s="24"/>
      <c r="AC132" s="24"/>
    </row>
    <row r="133" spans="27:29" x14ac:dyDescent="0.25">
      <c r="AA133" s="24"/>
      <c r="AC133" s="24"/>
    </row>
    <row r="134" spans="27:29" x14ac:dyDescent="0.25">
      <c r="AA134" s="24"/>
      <c r="AC134" s="24"/>
    </row>
    <row r="135" spans="27:29" x14ac:dyDescent="0.25">
      <c r="AA135" s="24"/>
      <c r="AC135" s="24"/>
    </row>
    <row r="136" spans="27:29" x14ac:dyDescent="0.25">
      <c r="AA136" s="24"/>
      <c r="AC136" s="24"/>
    </row>
    <row r="137" spans="27:29" x14ac:dyDescent="0.25">
      <c r="AA137" s="24"/>
      <c r="AC137" s="24"/>
    </row>
    <row r="138" spans="27:29" x14ac:dyDescent="0.25">
      <c r="AA138" s="24"/>
      <c r="AC138" s="24"/>
    </row>
    <row r="139" spans="27:29" x14ac:dyDescent="0.25">
      <c r="AA139" s="24"/>
      <c r="AC139" s="24"/>
    </row>
    <row r="140" spans="27:29" x14ac:dyDescent="0.25">
      <c r="AA140" s="24"/>
      <c r="AC140" s="24"/>
    </row>
    <row r="141" spans="27:29" x14ac:dyDescent="0.25">
      <c r="AA141" s="24"/>
      <c r="AC141" s="24"/>
    </row>
    <row r="142" spans="27:29" x14ac:dyDescent="0.25">
      <c r="AA142" s="24"/>
      <c r="AC142" s="24"/>
    </row>
    <row r="143" spans="27:29" x14ac:dyDescent="0.25">
      <c r="AA143" s="24"/>
      <c r="AC143" s="24"/>
    </row>
    <row r="144" spans="27:29" x14ac:dyDescent="0.25">
      <c r="AA144" s="24"/>
      <c r="AC144" s="24"/>
    </row>
    <row r="145" spans="27:29" x14ac:dyDescent="0.25">
      <c r="AA145" s="24"/>
      <c r="AC145" s="24"/>
    </row>
    <row r="146" spans="27:29" x14ac:dyDescent="0.25">
      <c r="AA146" s="24"/>
      <c r="AC146" s="24"/>
    </row>
    <row r="147" spans="27:29" x14ac:dyDescent="0.25">
      <c r="AA147" s="24"/>
      <c r="AC147" s="24"/>
    </row>
    <row r="148" spans="27:29" x14ac:dyDescent="0.25">
      <c r="AA148" s="24"/>
      <c r="AC148" s="24"/>
    </row>
    <row r="149" spans="27:29" x14ac:dyDescent="0.25">
      <c r="AA149" s="24"/>
      <c r="AC149" s="24"/>
    </row>
    <row r="150" spans="27:29" x14ac:dyDescent="0.25">
      <c r="AA150" s="24"/>
      <c r="AC150" s="24"/>
    </row>
    <row r="151" spans="27:29" x14ac:dyDescent="0.25">
      <c r="AA151" s="24"/>
      <c r="AC151" s="24"/>
    </row>
    <row r="152" spans="27:29" x14ac:dyDescent="0.25">
      <c r="AA152" s="24"/>
      <c r="AC152" s="24"/>
    </row>
    <row r="153" spans="27:29" x14ac:dyDescent="0.25">
      <c r="AA153" s="24"/>
      <c r="AC153" s="24"/>
    </row>
    <row r="154" spans="27:29" x14ac:dyDescent="0.25">
      <c r="AA154" s="24"/>
      <c r="AC154" s="24"/>
    </row>
    <row r="155" spans="27:29" x14ac:dyDescent="0.25">
      <c r="AA155" s="24"/>
      <c r="AC155" s="24"/>
    </row>
    <row r="156" spans="27:29" x14ac:dyDescent="0.25">
      <c r="AA156" s="24"/>
      <c r="AC156" s="24"/>
    </row>
    <row r="157" spans="27:29" x14ac:dyDescent="0.25">
      <c r="AA157" s="24"/>
      <c r="AC157" s="24"/>
    </row>
    <row r="158" spans="27:29" x14ac:dyDescent="0.25">
      <c r="AA158" s="24"/>
      <c r="AC158" s="24"/>
    </row>
    <row r="159" spans="27:29" x14ac:dyDescent="0.25">
      <c r="AA159" s="24"/>
      <c r="AC159" s="24"/>
    </row>
    <row r="160" spans="27:29" x14ac:dyDescent="0.25">
      <c r="AA160" s="24"/>
      <c r="AC160" s="24"/>
    </row>
    <row r="161" spans="27:29" x14ac:dyDescent="0.25">
      <c r="AA161" s="24"/>
      <c r="AC161" s="24"/>
    </row>
    <row r="162" spans="27:29" x14ac:dyDescent="0.25">
      <c r="AA162" s="24"/>
      <c r="AC162" s="24"/>
    </row>
    <row r="163" spans="27:29" x14ac:dyDescent="0.25">
      <c r="AA163" s="24"/>
      <c r="AC163" s="24"/>
    </row>
    <row r="164" spans="27:29" x14ac:dyDescent="0.25">
      <c r="AA164" s="24"/>
      <c r="AC164" s="24"/>
    </row>
    <row r="165" spans="27:29" x14ac:dyDescent="0.25">
      <c r="AA165" s="24"/>
      <c r="AC165" s="24"/>
    </row>
    <row r="166" spans="27:29" x14ac:dyDescent="0.25">
      <c r="AA166" s="24"/>
      <c r="AC166" s="24"/>
    </row>
    <row r="167" spans="27:29" x14ac:dyDescent="0.25">
      <c r="AA167" s="24"/>
      <c r="AC167" s="24"/>
    </row>
    <row r="168" spans="27:29" x14ac:dyDescent="0.25">
      <c r="AA168" s="24"/>
      <c r="AC168" s="24"/>
    </row>
    <row r="169" spans="27:29" x14ac:dyDescent="0.25">
      <c r="AA169" s="24"/>
      <c r="AC169" s="24"/>
    </row>
    <row r="170" spans="27:29" x14ac:dyDescent="0.25">
      <c r="AA170" s="24"/>
      <c r="AC170" s="24"/>
    </row>
    <row r="171" spans="27:29" x14ac:dyDescent="0.25">
      <c r="AA171" s="24"/>
      <c r="AC171" s="24"/>
    </row>
    <row r="172" spans="27:29" x14ac:dyDescent="0.25">
      <c r="AA172" s="24"/>
      <c r="AC172" s="24"/>
    </row>
    <row r="173" spans="27:29" x14ac:dyDescent="0.25">
      <c r="AA173" s="24"/>
      <c r="AC173" s="24"/>
    </row>
    <row r="174" spans="27:29" x14ac:dyDescent="0.25">
      <c r="AA174" s="24"/>
      <c r="AC174" s="24"/>
    </row>
    <row r="175" spans="27:29" x14ac:dyDescent="0.25">
      <c r="AA175" s="24"/>
      <c r="AC175" s="24"/>
    </row>
    <row r="176" spans="27:29" x14ac:dyDescent="0.25">
      <c r="AA176" s="24"/>
      <c r="AC176" s="24"/>
    </row>
    <row r="177" spans="27:29" x14ac:dyDescent="0.25">
      <c r="AA177" s="24"/>
      <c r="AC177" s="24"/>
    </row>
    <row r="178" spans="27:29" x14ac:dyDescent="0.25">
      <c r="AA178" s="24"/>
      <c r="AC178" s="24"/>
    </row>
    <row r="179" spans="27:29" x14ac:dyDescent="0.25">
      <c r="AA179" s="24"/>
      <c r="AC179" s="24"/>
    </row>
    <row r="180" spans="27:29" x14ac:dyDescent="0.25">
      <c r="AA180" s="24"/>
      <c r="AC180" s="24"/>
    </row>
    <row r="181" spans="27:29" x14ac:dyDescent="0.25">
      <c r="AA181" s="24"/>
      <c r="AC181" s="24"/>
    </row>
    <row r="182" spans="27:29" x14ac:dyDescent="0.25">
      <c r="AA182" s="24"/>
      <c r="AC182" s="24"/>
    </row>
    <row r="183" spans="27:29" x14ac:dyDescent="0.25">
      <c r="AA183" s="24"/>
      <c r="AC183" s="24"/>
    </row>
    <row r="184" spans="27:29" x14ac:dyDescent="0.25">
      <c r="AA184" s="24"/>
      <c r="AC184" s="24"/>
    </row>
    <row r="185" spans="27:29" x14ac:dyDescent="0.25">
      <c r="AA185" s="24"/>
      <c r="AC185" s="24"/>
    </row>
    <row r="186" spans="27:29" x14ac:dyDescent="0.25">
      <c r="AA186" s="24"/>
      <c r="AC186" s="24"/>
    </row>
    <row r="187" spans="27:29" x14ac:dyDescent="0.25">
      <c r="AA187" s="24"/>
      <c r="AC187" s="24"/>
    </row>
    <row r="188" spans="27:29" x14ac:dyDescent="0.25">
      <c r="AA188" s="24"/>
      <c r="AC188" s="24"/>
    </row>
    <row r="189" spans="27:29" x14ac:dyDescent="0.25">
      <c r="AA189" s="24"/>
      <c r="AC189" s="24"/>
    </row>
    <row r="190" spans="27:29" x14ac:dyDescent="0.25">
      <c r="AA190" s="24"/>
      <c r="AC190" s="24"/>
    </row>
    <row r="191" spans="27:29" x14ac:dyDescent="0.25">
      <c r="AA191" s="24"/>
      <c r="AC191" s="24"/>
    </row>
    <row r="192" spans="27:29" x14ac:dyDescent="0.25">
      <c r="AA192" s="24"/>
      <c r="AC192" s="24"/>
    </row>
    <row r="193" spans="27:29" x14ac:dyDescent="0.25">
      <c r="AA193" s="24"/>
      <c r="AC193" s="24"/>
    </row>
    <row r="194" spans="27:29" x14ac:dyDescent="0.25">
      <c r="AA194" s="24"/>
      <c r="AC194" s="24"/>
    </row>
    <row r="195" spans="27:29" x14ac:dyDescent="0.25">
      <c r="AA195" s="24"/>
      <c r="AC195" s="24"/>
    </row>
    <row r="196" spans="27:29" x14ac:dyDescent="0.25">
      <c r="AA196" s="24"/>
      <c r="AC196" s="24"/>
    </row>
    <row r="197" spans="27:29" x14ac:dyDescent="0.25">
      <c r="AA197" s="24"/>
      <c r="AC197" s="24"/>
    </row>
    <row r="198" spans="27:29" x14ac:dyDescent="0.25">
      <c r="AA198" s="24"/>
      <c r="AC198" s="24"/>
    </row>
    <row r="199" spans="27:29" x14ac:dyDescent="0.25">
      <c r="AA199" s="24"/>
      <c r="AC199" s="24"/>
    </row>
    <row r="200" spans="27:29" x14ac:dyDescent="0.25">
      <c r="AA200" s="24"/>
      <c r="AC200" s="24"/>
    </row>
    <row r="201" spans="27:29" x14ac:dyDescent="0.25">
      <c r="AA201" s="24"/>
      <c r="AC201" s="24"/>
    </row>
    <row r="202" spans="27:29" x14ac:dyDescent="0.25">
      <c r="AA202" s="24"/>
      <c r="AC202" s="24"/>
    </row>
    <row r="203" spans="27:29" x14ac:dyDescent="0.25">
      <c r="AA203" s="24"/>
      <c r="AC203" s="24"/>
    </row>
    <row r="204" spans="27:29" x14ac:dyDescent="0.25">
      <c r="AA204" s="24"/>
      <c r="AC204" s="24"/>
    </row>
    <row r="205" spans="27:29" x14ac:dyDescent="0.25">
      <c r="AA205" s="24"/>
      <c r="AC205" s="24"/>
    </row>
    <row r="206" spans="27:29" x14ac:dyDescent="0.25">
      <c r="AA206" s="24"/>
      <c r="AC206" s="24"/>
    </row>
    <row r="207" spans="27:29" x14ac:dyDescent="0.25">
      <c r="AA207" s="24"/>
      <c r="AC207" s="24"/>
    </row>
    <row r="208" spans="27:29" x14ac:dyDescent="0.25">
      <c r="AA208" s="24"/>
      <c r="AC208" s="24"/>
    </row>
    <row r="209" spans="27:29" x14ac:dyDescent="0.25">
      <c r="AA209" s="24"/>
      <c r="AC209" s="24"/>
    </row>
    <row r="210" spans="27:29" x14ac:dyDescent="0.25">
      <c r="AA210" s="24"/>
      <c r="AC210" s="24"/>
    </row>
    <row r="211" spans="27:29" x14ac:dyDescent="0.25">
      <c r="AA211" s="24"/>
      <c r="AC211" s="24"/>
    </row>
    <row r="212" spans="27:29" x14ac:dyDescent="0.25">
      <c r="AA212" s="24"/>
      <c r="AC212" s="24"/>
    </row>
    <row r="213" spans="27:29" x14ac:dyDescent="0.25">
      <c r="AA213" s="24"/>
      <c r="AC213" s="24"/>
    </row>
    <row r="214" spans="27:29" x14ac:dyDescent="0.25">
      <c r="AA214" s="24"/>
      <c r="AC214" s="24"/>
    </row>
    <row r="215" spans="27:29" x14ac:dyDescent="0.25">
      <c r="AA215" s="24"/>
      <c r="AC215" s="24"/>
    </row>
    <row r="216" spans="27:29" x14ac:dyDescent="0.25">
      <c r="AA216" s="24"/>
      <c r="AC216" s="24"/>
    </row>
    <row r="217" spans="27:29" x14ac:dyDescent="0.25">
      <c r="AA217" s="24"/>
      <c r="AC217" s="24"/>
    </row>
    <row r="218" spans="27:29" x14ac:dyDescent="0.25">
      <c r="AA218" s="24"/>
      <c r="AC218" s="24"/>
    </row>
    <row r="219" spans="27:29" x14ac:dyDescent="0.25">
      <c r="AA219" s="24"/>
      <c r="AC219" s="24"/>
    </row>
    <row r="220" spans="27:29" x14ac:dyDescent="0.25">
      <c r="AA220" s="24"/>
      <c r="AC220" s="24"/>
    </row>
    <row r="221" spans="27:29" x14ac:dyDescent="0.25">
      <c r="AA221" s="24"/>
      <c r="AC221" s="24"/>
    </row>
    <row r="222" spans="27:29" x14ac:dyDescent="0.25">
      <c r="AA222" s="24"/>
      <c r="AC222" s="24"/>
    </row>
    <row r="223" spans="27:29" x14ac:dyDescent="0.25">
      <c r="AA223" s="24"/>
      <c r="AC223" s="24"/>
    </row>
    <row r="224" spans="27:29" x14ac:dyDescent="0.25">
      <c r="AA224" s="24"/>
      <c r="AC224" s="24"/>
    </row>
    <row r="225" spans="27:29" x14ac:dyDescent="0.25">
      <c r="AA225" s="24"/>
      <c r="AC225" s="24"/>
    </row>
    <row r="226" spans="27:29" x14ac:dyDescent="0.25">
      <c r="AA226" s="24"/>
      <c r="AC226" s="24"/>
    </row>
    <row r="227" spans="27:29" x14ac:dyDescent="0.25">
      <c r="AA227" s="24"/>
      <c r="AC227" s="24"/>
    </row>
    <row r="228" spans="27:29" x14ac:dyDescent="0.25">
      <c r="AA228" s="24"/>
      <c r="AC228" s="24"/>
    </row>
    <row r="229" spans="27:29" x14ac:dyDescent="0.25">
      <c r="AA229" s="24"/>
      <c r="AC229" s="24"/>
    </row>
    <row r="230" spans="27:29" x14ac:dyDescent="0.25">
      <c r="AA230" s="24"/>
      <c r="AC230" s="24"/>
    </row>
    <row r="231" spans="27:29" x14ac:dyDescent="0.25">
      <c r="AA231" s="24"/>
      <c r="AC231" s="24"/>
    </row>
    <row r="232" spans="27:29" x14ac:dyDescent="0.25">
      <c r="AA232" s="24"/>
      <c r="AC232" s="24"/>
    </row>
    <row r="233" spans="27:29" x14ac:dyDescent="0.25">
      <c r="AA233" s="24"/>
      <c r="AC233" s="24"/>
    </row>
    <row r="234" spans="27:29" x14ac:dyDescent="0.25">
      <c r="AA234" s="24"/>
      <c r="AC234" s="24"/>
    </row>
    <row r="235" spans="27:29" x14ac:dyDescent="0.25">
      <c r="AA235" s="24"/>
      <c r="AC235" s="24"/>
    </row>
    <row r="236" spans="27:29" x14ac:dyDescent="0.25">
      <c r="AA236" s="24"/>
      <c r="AC236" s="24"/>
    </row>
    <row r="237" spans="27:29" x14ac:dyDescent="0.25">
      <c r="AA237" s="24"/>
      <c r="AC237" s="24"/>
    </row>
    <row r="238" spans="27:29" x14ac:dyDescent="0.25">
      <c r="AA238" s="24"/>
      <c r="AC238" s="24"/>
    </row>
    <row r="239" spans="27:29" x14ac:dyDescent="0.25">
      <c r="AA239" s="24"/>
      <c r="AC239" s="24"/>
    </row>
    <row r="240" spans="27:29" x14ac:dyDescent="0.25">
      <c r="AA240" s="24"/>
      <c r="AC240" s="24"/>
    </row>
    <row r="241" spans="27:29" x14ac:dyDescent="0.25">
      <c r="AA241" s="24"/>
      <c r="AC241" s="24"/>
    </row>
    <row r="242" spans="27:29" x14ac:dyDescent="0.25">
      <c r="AA242" s="24"/>
      <c r="AC242" s="24"/>
    </row>
    <row r="243" spans="27:29" x14ac:dyDescent="0.25">
      <c r="AA243" s="24"/>
      <c r="AC243" s="24"/>
    </row>
    <row r="244" spans="27:29" x14ac:dyDescent="0.25">
      <c r="AA244" s="24"/>
      <c r="AC244" s="24"/>
    </row>
    <row r="245" spans="27:29" x14ac:dyDescent="0.25">
      <c r="AA245" s="24"/>
      <c r="AC245" s="24"/>
    </row>
    <row r="246" spans="27:29" x14ac:dyDescent="0.25">
      <c r="AA246" s="24"/>
      <c r="AC246" s="24"/>
    </row>
    <row r="247" spans="27:29" x14ac:dyDescent="0.25">
      <c r="AA247" s="24"/>
      <c r="AC247" s="24"/>
    </row>
    <row r="248" spans="27:29" x14ac:dyDescent="0.25">
      <c r="AA248" s="24"/>
      <c r="AC248" s="24"/>
    </row>
    <row r="249" spans="27:29" x14ac:dyDescent="0.25">
      <c r="AA249" s="24"/>
      <c r="AC249" s="24"/>
    </row>
    <row r="250" spans="27:29" x14ac:dyDescent="0.25">
      <c r="AA250" s="24"/>
      <c r="AC250" s="24"/>
    </row>
    <row r="251" spans="27:29" x14ac:dyDescent="0.25">
      <c r="AA251" s="24"/>
      <c r="AC251" s="24"/>
    </row>
    <row r="252" spans="27:29" x14ac:dyDescent="0.25">
      <c r="AA252" s="24"/>
      <c r="AC252" s="24"/>
    </row>
    <row r="253" spans="27:29" x14ac:dyDescent="0.25">
      <c r="AA253" s="24"/>
      <c r="AC253" s="24"/>
    </row>
    <row r="254" spans="27:29" x14ac:dyDescent="0.25">
      <c r="AA254" s="24"/>
      <c r="AC254" s="24"/>
    </row>
    <row r="255" spans="27:29" x14ac:dyDescent="0.25">
      <c r="AA255" s="24"/>
      <c r="AC255" s="24"/>
    </row>
    <row r="256" spans="27:29" x14ac:dyDescent="0.25">
      <c r="AA256" s="24"/>
      <c r="AC256" s="24"/>
    </row>
    <row r="257" spans="27:29" x14ac:dyDescent="0.25">
      <c r="AA257" s="24"/>
      <c r="AC257" s="24"/>
    </row>
    <row r="258" spans="27:29" x14ac:dyDescent="0.25">
      <c r="AA258" s="24"/>
      <c r="AC258" s="24"/>
    </row>
    <row r="259" spans="27:29" x14ac:dyDescent="0.25">
      <c r="AA259" s="24"/>
      <c r="AC259" s="24"/>
    </row>
    <row r="260" spans="27:29" x14ac:dyDescent="0.25">
      <c r="AA260" s="24"/>
      <c r="AC260" s="24"/>
    </row>
    <row r="261" spans="27:29" x14ac:dyDescent="0.25">
      <c r="AA261" s="24"/>
      <c r="AC261" s="24"/>
    </row>
    <row r="262" spans="27:29" x14ac:dyDescent="0.25">
      <c r="AA262" s="24"/>
      <c r="AC262" s="24"/>
    </row>
    <row r="263" spans="27:29" x14ac:dyDescent="0.25">
      <c r="AA263" s="24"/>
      <c r="AC263" s="24"/>
    </row>
    <row r="264" spans="27:29" x14ac:dyDescent="0.25">
      <c r="AA264" s="24"/>
      <c r="AC264" s="24"/>
    </row>
    <row r="265" spans="27:29" x14ac:dyDescent="0.25">
      <c r="AA265" s="24"/>
      <c r="AC265" s="24"/>
    </row>
    <row r="266" spans="27:29" x14ac:dyDescent="0.25">
      <c r="AA266" s="24"/>
      <c r="AC266" s="24"/>
    </row>
    <row r="267" spans="27:29" x14ac:dyDescent="0.25">
      <c r="AA267" s="24"/>
      <c r="AC267" s="24"/>
    </row>
    <row r="268" spans="27:29" x14ac:dyDescent="0.25">
      <c r="AA268" s="24"/>
      <c r="AC268" s="24"/>
    </row>
    <row r="269" spans="27:29" x14ac:dyDescent="0.25">
      <c r="AA269" s="24"/>
      <c r="AC269" s="24"/>
    </row>
    <row r="270" spans="27:29" x14ac:dyDescent="0.25">
      <c r="AA270" s="24"/>
      <c r="AC270" s="24"/>
    </row>
    <row r="271" spans="27:29" x14ac:dyDescent="0.25">
      <c r="AA271" s="24"/>
      <c r="AC271" s="24"/>
    </row>
    <row r="272" spans="27:29" x14ac:dyDescent="0.25">
      <c r="AA272" s="24"/>
      <c r="AC272" s="24"/>
    </row>
    <row r="273" spans="27:29" x14ac:dyDescent="0.25">
      <c r="AA273" s="24"/>
      <c r="AC273" s="24"/>
    </row>
    <row r="274" spans="27:29" x14ac:dyDescent="0.25">
      <c r="AA274" s="24"/>
      <c r="AC274" s="24"/>
    </row>
    <row r="275" spans="27:29" x14ac:dyDescent="0.25">
      <c r="AA275" s="24"/>
      <c r="AC275" s="24"/>
    </row>
    <row r="276" spans="27:29" x14ac:dyDescent="0.25">
      <c r="AA276" s="24"/>
      <c r="AC276" s="24"/>
    </row>
    <row r="277" spans="27:29" x14ac:dyDescent="0.25">
      <c r="AA277" s="24"/>
      <c r="AC277" s="24"/>
    </row>
    <row r="278" spans="27:29" x14ac:dyDescent="0.25">
      <c r="AA278" s="24"/>
      <c r="AC278" s="24"/>
    </row>
    <row r="279" spans="27:29" x14ac:dyDescent="0.25">
      <c r="AA279" s="24"/>
      <c r="AC279" s="24"/>
    </row>
    <row r="280" spans="27:29" x14ac:dyDescent="0.25">
      <c r="AA280" s="24"/>
      <c r="AC280" s="24"/>
    </row>
    <row r="281" spans="27:29" x14ac:dyDescent="0.25">
      <c r="AA281" s="24"/>
      <c r="AC281" s="24"/>
    </row>
    <row r="282" spans="27:29" x14ac:dyDescent="0.25">
      <c r="AA282" s="24"/>
      <c r="AC282" s="24"/>
    </row>
    <row r="283" spans="27:29" x14ac:dyDescent="0.25">
      <c r="AA283" s="24"/>
      <c r="AC283" s="24"/>
    </row>
    <row r="284" spans="27:29" x14ac:dyDescent="0.25">
      <c r="AA284" s="24"/>
      <c r="AC284" s="24"/>
    </row>
    <row r="285" spans="27:29" x14ac:dyDescent="0.25">
      <c r="AA285" s="24"/>
      <c r="AC285" s="24"/>
    </row>
    <row r="286" spans="27:29" x14ac:dyDescent="0.25">
      <c r="AA286" s="24"/>
      <c r="AC286" s="24"/>
    </row>
    <row r="287" spans="27:29" x14ac:dyDescent="0.25">
      <c r="AA287" s="24"/>
      <c r="AC287" s="24"/>
    </row>
    <row r="288" spans="27:29" x14ac:dyDescent="0.25">
      <c r="AA288" s="24"/>
      <c r="AC288" s="24"/>
    </row>
    <row r="289" spans="27:29" x14ac:dyDescent="0.25">
      <c r="AA289" s="24"/>
      <c r="AC289" s="24"/>
    </row>
    <row r="290" spans="27:29" x14ac:dyDescent="0.25">
      <c r="AA290" s="24"/>
      <c r="AC290" s="24"/>
    </row>
    <row r="291" spans="27:29" x14ac:dyDescent="0.25">
      <c r="AA291" s="24"/>
      <c r="AC291" s="24"/>
    </row>
    <row r="292" spans="27:29" x14ac:dyDescent="0.25">
      <c r="AA292" s="24"/>
      <c r="AC292" s="24"/>
    </row>
    <row r="293" spans="27:29" x14ac:dyDescent="0.25">
      <c r="AA293" s="24"/>
      <c r="AC293" s="24"/>
    </row>
    <row r="294" spans="27:29" x14ac:dyDescent="0.25">
      <c r="AA294" s="24"/>
      <c r="AC294" s="24"/>
    </row>
    <row r="295" spans="27:29" x14ac:dyDescent="0.25">
      <c r="AA295" s="24"/>
      <c r="AC295" s="24"/>
    </row>
    <row r="296" spans="27:29" x14ac:dyDescent="0.25">
      <c r="AA296" s="24"/>
      <c r="AC296" s="24"/>
    </row>
    <row r="297" spans="27:29" x14ac:dyDescent="0.25">
      <c r="AA297" s="24"/>
      <c r="AC297" s="24"/>
    </row>
    <row r="298" spans="27:29" x14ac:dyDescent="0.25">
      <c r="AA298" s="24"/>
      <c r="AC298" s="24"/>
    </row>
    <row r="299" spans="27:29" x14ac:dyDescent="0.25">
      <c r="AA299" s="24"/>
      <c r="AC299" s="24"/>
    </row>
    <row r="300" spans="27:29" x14ac:dyDescent="0.25">
      <c r="AA300" s="24"/>
      <c r="AC300" s="24"/>
    </row>
    <row r="301" spans="27:29" x14ac:dyDescent="0.25">
      <c r="AA301" s="24"/>
      <c r="AC301" s="24"/>
    </row>
    <row r="302" spans="27:29" x14ac:dyDescent="0.25">
      <c r="AA302" s="24"/>
      <c r="AC302" s="24"/>
    </row>
    <row r="303" spans="27:29" x14ac:dyDescent="0.25">
      <c r="AA303" s="24"/>
      <c r="AC303" s="24"/>
    </row>
    <row r="304" spans="27:29" x14ac:dyDescent="0.25">
      <c r="AA304" s="24"/>
      <c r="AC304" s="24"/>
    </row>
    <row r="305" spans="27:29" x14ac:dyDescent="0.25">
      <c r="AA305" s="24"/>
      <c r="AC305" s="24"/>
    </row>
    <row r="306" spans="27:29" x14ac:dyDescent="0.25">
      <c r="AA306" s="24"/>
      <c r="AC306" s="24"/>
    </row>
    <row r="307" spans="27:29" x14ac:dyDescent="0.25">
      <c r="AA307" s="24"/>
      <c r="AC307" s="24"/>
    </row>
    <row r="308" spans="27:29" x14ac:dyDescent="0.25">
      <c r="AA308" s="24"/>
      <c r="AC308" s="24"/>
    </row>
    <row r="309" spans="27:29" x14ac:dyDescent="0.25">
      <c r="AA309" s="24"/>
      <c r="AC309" s="24"/>
    </row>
    <row r="310" spans="27:29" x14ac:dyDescent="0.25">
      <c r="AA310" s="24"/>
      <c r="AC310" s="24"/>
    </row>
    <row r="311" spans="27:29" x14ac:dyDescent="0.25">
      <c r="AA311" s="24"/>
      <c r="AC311" s="24"/>
    </row>
    <row r="312" spans="27:29" x14ac:dyDescent="0.25">
      <c r="AA312" s="24"/>
      <c r="AC312" s="24"/>
    </row>
    <row r="313" spans="27:29" x14ac:dyDescent="0.25">
      <c r="AA313" s="24"/>
      <c r="AC313" s="24"/>
    </row>
    <row r="314" spans="27:29" x14ac:dyDescent="0.25">
      <c r="AA314" s="24"/>
      <c r="AC314" s="24"/>
    </row>
    <row r="315" spans="27:29" x14ac:dyDescent="0.25">
      <c r="AA315" s="24"/>
      <c r="AC315" s="24"/>
    </row>
    <row r="316" spans="27:29" x14ac:dyDescent="0.25">
      <c r="AA316" s="24"/>
      <c r="AC316" s="24"/>
    </row>
    <row r="317" spans="27:29" x14ac:dyDescent="0.25">
      <c r="AA317" s="24"/>
      <c r="AC317" s="24"/>
    </row>
    <row r="318" spans="27:29" x14ac:dyDescent="0.25">
      <c r="AA318" s="24"/>
      <c r="AC318" s="24"/>
    </row>
    <row r="319" spans="27:29" x14ac:dyDescent="0.25">
      <c r="AA319" s="24"/>
      <c r="AC319" s="24"/>
    </row>
    <row r="320" spans="27:29" x14ac:dyDescent="0.25">
      <c r="AA320" s="24"/>
      <c r="AC320" s="24"/>
    </row>
    <row r="321" spans="27:29" x14ac:dyDescent="0.25">
      <c r="AA321" s="24"/>
      <c r="AC321" s="24"/>
    </row>
    <row r="322" spans="27:29" x14ac:dyDescent="0.25">
      <c r="AA322" s="24"/>
      <c r="AC322" s="24"/>
    </row>
    <row r="323" spans="27:29" x14ac:dyDescent="0.25">
      <c r="AA323" s="24"/>
      <c r="AC323" s="24"/>
    </row>
    <row r="324" spans="27:29" x14ac:dyDescent="0.25">
      <c r="AA324" s="24"/>
      <c r="AC324" s="24"/>
    </row>
    <row r="325" spans="27:29" x14ac:dyDescent="0.25">
      <c r="AA325" s="24"/>
      <c r="AC325" s="24"/>
    </row>
    <row r="326" spans="27:29" x14ac:dyDescent="0.25">
      <c r="AA326" s="24"/>
      <c r="AC326" s="24"/>
    </row>
    <row r="327" spans="27:29" x14ac:dyDescent="0.25">
      <c r="AA327" s="24"/>
      <c r="AC327" s="24"/>
    </row>
    <row r="328" spans="27:29" x14ac:dyDescent="0.25">
      <c r="AA328" s="24"/>
      <c r="AC328" s="24"/>
    </row>
    <row r="329" spans="27:29" x14ac:dyDescent="0.25">
      <c r="AA329" s="24"/>
      <c r="AC329" s="24"/>
    </row>
    <row r="330" spans="27:29" x14ac:dyDescent="0.25">
      <c r="AA330" s="24"/>
      <c r="AC330" s="24"/>
    </row>
    <row r="331" spans="27:29" x14ac:dyDescent="0.25">
      <c r="AA331" s="24"/>
      <c r="AC331" s="24"/>
    </row>
    <row r="332" spans="27:29" x14ac:dyDescent="0.25">
      <c r="AA332" s="24"/>
      <c r="AC332" s="24"/>
    </row>
    <row r="333" spans="27:29" x14ac:dyDescent="0.25">
      <c r="AA333" s="24"/>
      <c r="AC333" s="24"/>
    </row>
    <row r="334" spans="27:29" x14ac:dyDescent="0.25">
      <c r="AA334" s="24"/>
      <c r="AC334" s="24"/>
    </row>
    <row r="335" spans="27:29" x14ac:dyDescent="0.25">
      <c r="AA335" s="24"/>
      <c r="AC335" s="24"/>
    </row>
    <row r="336" spans="27:29" x14ac:dyDescent="0.25">
      <c r="AA336" s="24"/>
      <c r="AC336" s="24"/>
    </row>
    <row r="337" spans="27:29" x14ac:dyDescent="0.25">
      <c r="AA337" s="24"/>
      <c r="AC337" s="24"/>
    </row>
    <row r="338" spans="27:29" x14ac:dyDescent="0.25">
      <c r="AA338" s="24"/>
      <c r="AC338" s="24"/>
    </row>
    <row r="339" spans="27:29" x14ac:dyDescent="0.25">
      <c r="AA339" s="24"/>
      <c r="AC339" s="24"/>
    </row>
    <row r="340" spans="27:29" x14ac:dyDescent="0.25">
      <c r="AA340" s="24"/>
      <c r="AC340" s="24"/>
    </row>
    <row r="341" spans="27:29" x14ac:dyDescent="0.25">
      <c r="AA341" s="24"/>
      <c r="AC341" s="24"/>
    </row>
    <row r="342" spans="27:29" x14ac:dyDescent="0.25">
      <c r="AA342" s="24"/>
      <c r="AC342" s="24"/>
    </row>
    <row r="343" spans="27:29" x14ac:dyDescent="0.25">
      <c r="AA343" s="24"/>
      <c r="AC343" s="24"/>
    </row>
    <row r="344" spans="27:29" x14ac:dyDescent="0.25">
      <c r="AA344" s="24"/>
      <c r="AC344" s="24"/>
    </row>
    <row r="345" spans="27:29" x14ac:dyDescent="0.25">
      <c r="AA345" s="24"/>
      <c r="AC345" s="24"/>
    </row>
    <row r="346" spans="27:29" x14ac:dyDescent="0.25">
      <c r="AA346" s="24"/>
      <c r="AC346" s="24"/>
    </row>
    <row r="347" spans="27:29" x14ac:dyDescent="0.25">
      <c r="AA347" s="24"/>
      <c r="AC347" s="24"/>
    </row>
    <row r="348" spans="27:29" x14ac:dyDescent="0.25">
      <c r="AA348" s="24"/>
      <c r="AC348" s="24"/>
    </row>
    <row r="349" spans="27:29" x14ac:dyDescent="0.25">
      <c r="AA349" s="24"/>
      <c r="AC349" s="24"/>
    </row>
    <row r="350" spans="27:29" x14ac:dyDescent="0.25">
      <c r="AA350" s="24"/>
      <c r="AC350" s="24"/>
    </row>
    <row r="351" spans="27:29" x14ac:dyDescent="0.25">
      <c r="AA351" s="24"/>
      <c r="AC351" s="24"/>
    </row>
    <row r="352" spans="27:29" x14ac:dyDescent="0.25">
      <c r="AA352" s="24"/>
      <c r="AC352" s="24"/>
    </row>
    <row r="353" spans="27:29" x14ac:dyDescent="0.25">
      <c r="AA353" s="24"/>
      <c r="AC353" s="24"/>
    </row>
    <row r="354" spans="27:29" x14ac:dyDescent="0.25">
      <c r="AA354" s="24"/>
      <c r="AC354" s="24"/>
    </row>
    <row r="355" spans="27:29" x14ac:dyDescent="0.25">
      <c r="AA355" s="24"/>
      <c r="AC355" s="24"/>
    </row>
    <row r="356" spans="27:29" x14ac:dyDescent="0.25">
      <c r="AA356" s="24"/>
      <c r="AC356" s="24"/>
    </row>
    <row r="357" spans="27:29" x14ac:dyDescent="0.25">
      <c r="AA357" s="24"/>
      <c r="AC357" s="24"/>
    </row>
    <row r="358" spans="27:29" x14ac:dyDescent="0.25">
      <c r="AA358" s="24"/>
      <c r="AC358" s="24"/>
    </row>
    <row r="359" spans="27:29" x14ac:dyDescent="0.25">
      <c r="AA359" s="24"/>
      <c r="AC359" s="24"/>
    </row>
    <row r="360" spans="27:29" x14ac:dyDescent="0.25">
      <c r="AA360" s="24"/>
      <c r="AC360" s="24"/>
    </row>
    <row r="361" spans="27:29" x14ac:dyDescent="0.25">
      <c r="AA361" s="24"/>
      <c r="AC361" s="24"/>
    </row>
    <row r="362" spans="27:29" x14ac:dyDescent="0.25">
      <c r="AA362" s="24"/>
      <c r="AC362" s="24"/>
    </row>
    <row r="363" spans="27:29" x14ac:dyDescent="0.25">
      <c r="AA363" s="24"/>
      <c r="AC363" s="24"/>
    </row>
    <row r="364" spans="27:29" x14ac:dyDescent="0.25">
      <c r="AA364" s="24"/>
      <c r="AC364" s="24"/>
    </row>
    <row r="365" spans="27:29" x14ac:dyDescent="0.25">
      <c r="AA365" s="24"/>
      <c r="AC365" s="24"/>
    </row>
    <row r="366" spans="27:29" x14ac:dyDescent="0.25">
      <c r="AA366" s="24"/>
      <c r="AC366" s="24"/>
    </row>
    <row r="367" spans="27:29" x14ac:dyDescent="0.25">
      <c r="AA367" s="24"/>
      <c r="AC367" s="24"/>
    </row>
    <row r="368" spans="27:29" x14ac:dyDescent="0.25">
      <c r="AA368" s="24"/>
      <c r="AC368" s="24"/>
    </row>
    <row r="369" spans="27:29" x14ac:dyDescent="0.25">
      <c r="AA369" s="24"/>
      <c r="AC369" s="24"/>
    </row>
    <row r="370" spans="27:29" x14ac:dyDescent="0.25">
      <c r="AA370" s="24"/>
      <c r="AC370" s="24"/>
    </row>
    <row r="371" spans="27:29" x14ac:dyDescent="0.25">
      <c r="AA371" s="24"/>
      <c r="AC371" s="24"/>
    </row>
    <row r="372" spans="27:29" x14ac:dyDescent="0.25">
      <c r="AA372" s="24"/>
      <c r="AC372" s="24"/>
    </row>
    <row r="373" spans="27:29" x14ac:dyDescent="0.25">
      <c r="AA373" s="24"/>
      <c r="AC373" s="24"/>
    </row>
    <row r="374" spans="27:29" x14ac:dyDescent="0.25">
      <c r="AA374" s="24"/>
      <c r="AC374" s="24"/>
    </row>
    <row r="375" spans="27:29" x14ac:dyDescent="0.25">
      <c r="AA375" s="24"/>
      <c r="AC375" s="24"/>
    </row>
    <row r="376" spans="27:29" x14ac:dyDescent="0.25">
      <c r="AA376" s="24"/>
      <c r="AC376" s="24"/>
    </row>
    <row r="377" spans="27:29" x14ac:dyDescent="0.25">
      <c r="AA377" s="24"/>
      <c r="AC377" s="24"/>
    </row>
    <row r="378" spans="27:29" x14ac:dyDescent="0.25">
      <c r="AA378" s="24"/>
      <c r="AC378" s="24"/>
    </row>
    <row r="379" spans="27:29" x14ac:dyDescent="0.25">
      <c r="AA379" s="24"/>
      <c r="AC379" s="24"/>
    </row>
    <row r="380" spans="27:29" x14ac:dyDescent="0.25">
      <c r="AA380" s="24"/>
      <c r="AC380" s="24"/>
    </row>
    <row r="381" spans="27:29" x14ac:dyDescent="0.25">
      <c r="AA381" s="24"/>
      <c r="AC381" s="24"/>
    </row>
    <row r="382" spans="27:29" x14ac:dyDescent="0.25">
      <c r="AA382" s="24"/>
      <c r="AC382" s="24"/>
    </row>
    <row r="383" spans="27:29" x14ac:dyDescent="0.25">
      <c r="AA383" s="24"/>
      <c r="AC383" s="24"/>
    </row>
    <row r="384" spans="27:29" x14ac:dyDescent="0.25">
      <c r="AA384" s="24"/>
      <c r="AC384" s="24"/>
    </row>
    <row r="385" spans="27:29" x14ac:dyDescent="0.25">
      <c r="AA385" s="24"/>
      <c r="AC385" s="24"/>
    </row>
    <row r="386" spans="27:29" x14ac:dyDescent="0.25">
      <c r="AA386" s="24"/>
      <c r="AC386" s="24"/>
    </row>
    <row r="387" spans="27:29" x14ac:dyDescent="0.25">
      <c r="AA387" s="24"/>
      <c r="AC387" s="24"/>
    </row>
    <row r="388" spans="27:29" x14ac:dyDescent="0.25">
      <c r="AA388" s="24"/>
      <c r="AC388" s="24"/>
    </row>
    <row r="389" spans="27:29" x14ac:dyDescent="0.25">
      <c r="AA389" s="24"/>
      <c r="AC389" s="24"/>
    </row>
    <row r="390" spans="27:29" x14ac:dyDescent="0.25">
      <c r="AA390" s="24"/>
      <c r="AC390" s="24"/>
    </row>
    <row r="391" spans="27:29" x14ac:dyDescent="0.25">
      <c r="AA391" s="24"/>
      <c r="AC391" s="24"/>
    </row>
    <row r="392" spans="27:29" x14ac:dyDescent="0.25">
      <c r="AA392" s="24"/>
      <c r="AC392" s="24"/>
    </row>
    <row r="393" spans="27:29" x14ac:dyDescent="0.25">
      <c r="AA393" s="24"/>
      <c r="AC393" s="24"/>
    </row>
    <row r="394" spans="27:29" x14ac:dyDescent="0.25">
      <c r="AA394" s="24"/>
      <c r="AC394" s="24"/>
    </row>
    <row r="395" spans="27:29" x14ac:dyDescent="0.25">
      <c r="AA395" s="24"/>
      <c r="AC395" s="24"/>
    </row>
    <row r="396" spans="27:29" x14ac:dyDescent="0.25">
      <c r="AA396" s="24"/>
      <c r="AC396" s="24"/>
    </row>
    <row r="397" spans="27:29" x14ac:dyDescent="0.25">
      <c r="AA397" s="24"/>
      <c r="AC397" s="24"/>
    </row>
    <row r="398" spans="27:29" x14ac:dyDescent="0.25">
      <c r="AA398" s="24"/>
      <c r="AC398" s="24"/>
    </row>
    <row r="399" spans="27:29" x14ac:dyDescent="0.25">
      <c r="AA399" s="24"/>
      <c r="AC399" s="24"/>
    </row>
    <row r="400" spans="27:29" x14ac:dyDescent="0.25">
      <c r="AA400" s="24"/>
      <c r="AC400" s="24"/>
    </row>
    <row r="401" spans="27:29" x14ac:dyDescent="0.25">
      <c r="AA401" s="24"/>
      <c r="AC401" s="24"/>
    </row>
    <row r="402" spans="27:29" x14ac:dyDescent="0.25">
      <c r="AA402" s="24"/>
      <c r="AC402" s="24"/>
    </row>
    <row r="403" spans="27:29" x14ac:dyDescent="0.25">
      <c r="AA403" s="24"/>
      <c r="AC403" s="24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Z52"/>
  <sheetViews>
    <sheetView showGridLines="0" view="pageLayout" zoomScaleNormal="100" workbookViewId="0">
      <selection activeCell="F32" sqref="F32"/>
    </sheetView>
  </sheetViews>
  <sheetFormatPr defaultRowHeight="15" x14ac:dyDescent="0.25"/>
  <cols>
    <col min="6" max="6" width="9.140625" customWidth="1"/>
  </cols>
  <sheetData>
    <row r="1" spans="1:26" x14ac:dyDescent="0.25">
      <c r="A1" s="61" t="s">
        <v>246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245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</row>
    <row r="3" spans="1:26" ht="23.25" x14ac:dyDescent="0.35">
      <c r="A3" s="64" t="s">
        <v>12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4" t="s">
        <v>12</v>
      </c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26" x14ac:dyDescent="0.25">
      <c r="A4" s="131" t="s">
        <v>231</v>
      </c>
      <c r="B4" s="131"/>
      <c r="C4" s="131"/>
      <c r="F4" s="131" t="s">
        <v>189</v>
      </c>
      <c r="G4" s="131"/>
      <c r="H4" s="131"/>
      <c r="K4" s="131" t="s">
        <v>190</v>
      </c>
      <c r="L4" s="131"/>
      <c r="M4" s="131"/>
      <c r="N4" s="131" t="s">
        <v>231</v>
      </c>
      <c r="O4" s="131"/>
      <c r="P4" s="131"/>
      <c r="S4" s="131" t="s">
        <v>189</v>
      </c>
      <c r="T4" s="131"/>
      <c r="U4" s="131"/>
      <c r="X4" s="131" t="s">
        <v>190</v>
      </c>
      <c r="Y4" s="131"/>
      <c r="Z4" s="131"/>
    </row>
    <row r="5" spans="1:26" x14ac:dyDescent="0.25">
      <c r="B5" s="62" t="s">
        <v>160</v>
      </c>
      <c r="C5" s="62">
        <v>1</v>
      </c>
      <c r="G5" s="62" t="s">
        <v>204</v>
      </c>
      <c r="H5" s="62">
        <v>2</v>
      </c>
      <c r="L5" s="62" t="s">
        <v>191</v>
      </c>
      <c r="M5" s="62">
        <v>3</v>
      </c>
      <c r="O5" s="62" t="s">
        <v>233</v>
      </c>
      <c r="P5" s="62">
        <v>1</v>
      </c>
      <c r="T5" s="62" t="s">
        <v>204</v>
      </c>
      <c r="U5" s="62">
        <v>1</v>
      </c>
      <c r="Y5" s="62" t="s">
        <v>234</v>
      </c>
      <c r="Z5" s="62">
        <v>1</v>
      </c>
    </row>
    <row r="6" spans="1:26" x14ac:dyDescent="0.25">
      <c r="B6" s="62" t="s">
        <v>208</v>
      </c>
      <c r="C6" s="62">
        <v>2</v>
      </c>
      <c r="G6" s="62" t="s">
        <v>162</v>
      </c>
      <c r="H6" s="62">
        <v>1</v>
      </c>
      <c r="L6" s="63" t="s">
        <v>163</v>
      </c>
      <c r="M6" s="63">
        <v>3</v>
      </c>
      <c r="O6" s="62" t="s">
        <v>160</v>
      </c>
      <c r="P6" s="62">
        <v>2</v>
      </c>
      <c r="T6" s="62" t="s">
        <v>162</v>
      </c>
      <c r="U6" s="62">
        <v>2</v>
      </c>
      <c r="Y6" s="62" t="s">
        <v>191</v>
      </c>
      <c r="Z6" s="62">
        <v>2</v>
      </c>
    </row>
    <row r="7" spans="1:26" x14ac:dyDescent="0.25">
      <c r="B7" s="63" t="s">
        <v>163</v>
      </c>
      <c r="C7" s="63">
        <v>3</v>
      </c>
      <c r="G7" s="63" t="s">
        <v>163</v>
      </c>
      <c r="H7" s="63">
        <v>3</v>
      </c>
      <c r="O7" s="63" t="s">
        <v>163</v>
      </c>
      <c r="P7" s="63">
        <v>3</v>
      </c>
      <c r="T7" s="63" t="s">
        <v>163</v>
      </c>
      <c r="U7" s="63">
        <v>3</v>
      </c>
      <c r="Y7" s="63" t="s">
        <v>163</v>
      </c>
      <c r="Z7" s="63">
        <v>3</v>
      </c>
    </row>
    <row r="20" spans="1:26" ht="17.25" x14ac:dyDescent="0.3">
      <c r="A20" s="94" t="s">
        <v>240</v>
      </c>
      <c r="N20" s="94" t="s">
        <v>240</v>
      </c>
    </row>
    <row r="21" spans="1:26" x14ac:dyDescent="0.25">
      <c r="A21" s="93" t="s">
        <v>228</v>
      </c>
      <c r="B21" s="88"/>
      <c r="C21" s="93" t="s">
        <v>229</v>
      </c>
      <c r="D21" s="88"/>
      <c r="E21" s="93" t="s">
        <v>235</v>
      </c>
      <c r="F21" s="88"/>
      <c r="G21" s="93" t="s">
        <v>230</v>
      </c>
      <c r="H21" s="88"/>
      <c r="I21" s="93" t="s">
        <v>236</v>
      </c>
      <c r="J21" s="88"/>
      <c r="N21" s="93" t="s">
        <v>228</v>
      </c>
      <c r="O21" s="88"/>
      <c r="P21" s="93" t="s">
        <v>229</v>
      </c>
      <c r="Q21" s="88"/>
      <c r="R21" s="93" t="s">
        <v>235</v>
      </c>
      <c r="S21" s="88"/>
      <c r="T21" s="93" t="s">
        <v>236</v>
      </c>
      <c r="U21" s="88"/>
      <c r="V21" s="93" t="s">
        <v>237</v>
      </c>
      <c r="W21" s="88"/>
    </row>
    <row r="22" spans="1:26" x14ac:dyDescent="0.25">
      <c r="A22" s="89" t="s">
        <v>191</v>
      </c>
      <c r="B22" s="90">
        <v>13.6</v>
      </c>
      <c r="C22" s="89" t="s">
        <v>191</v>
      </c>
      <c r="D22" s="90">
        <v>11.2</v>
      </c>
      <c r="E22" s="89" t="s">
        <v>191</v>
      </c>
      <c r="F22" s="90">
        <v>5.9</v>
      </c>
      <c r="G22" s="89" t="s">
        <v>191</v>
      </c>
      <c r="H22" s="90">
        <v>4.7</v>
      </c>
      <c r="I22" s="89" t="s">
        <v>191</v>
      </c>
      <c r="J22" s="90">
        <v>11.7</v>
      </c>
      <c r="N22" s="89" t="s">
        <v>191</v>
      </c>
      <c r="O22" s="90">
        <v>21.5</v>
      </c>
      <c r="P22" s="89" t="s">
        <v>191</v>
      </c>
      <c r="Q22" s="90">
        <v>12.7</v>
      </c>
      <c r="R22" s="89" t="s">
        <v>191</v>
      </c>
      <c r="S22" s="90">
        <v>7.4</v>
      </c>
      <c r="T22" s="91" t="s">
        <v>191</v>
      </c>
      <c r="U22" s="92">
        <v>10.6</v>
      </c>
      <c r="V22" s="89" t="s">
        <v>234</v>
      </c>
      <c r="W22" s="90">
        <v>4.9000000000000004</v>
      </c>
    </row>
    <row r="23" spans="1:26" ht="23.25" x14ac:dyDescent="0.35">
      <c r="A23" s="64" t="s">
        <v>0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T23" s="89" t="s">
        <v>234</v>
      </c>
      <c r="U23" s="90">
        <v>10.5</v>
      </c>
    </row>
    <row r="24" spans="1:26" ht="23.25" x14ac:dyDescent="0.35">
      <c r="B24" t="s">
        <v>232</v>
      </c>
      <c r="N24" s="64" t="s">
        <v>0</v>
      </c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x14ac:dyDescent="0.25">
      <c r="N25" s="130" t="s">
        <v>231</v>
      </c>
      <c r="O25" s="130"/>
      <c r="P25" s="130"/>
      <c r="S25" s="130" t="s">
        <v>189</v>
      </c>
      <c r="T25" s="130"/>
      <c r="U25" s="130"/>
      <c r="X25" s="130" t="s">
        <v>190</v>
      </c>
      <c r="Y25" s="130"/>
      <c r="Z25" s="130"/>
    </row>
    <row r="26" spans="1:26" x14ac:dyDescent="0.25">
      <c r="O26" s="86" t="s">
        <v>162</v>
      </c>
      <c r="P26" s="86">
        <v>2</v>
      </c>
      <c r="T26" s="86" t="s">
        <v>161</v>
      </c>
      <c r="U26" s="86">
        <v>2</v>
      </c>
      <c r="Y26" s="86" t="s">
        <v>191</v>
      </c>
      <c r="Z26" s="86">
        <v>2</v>
      </c>
    </row>
    <row r="27" spans="1:26" ht="23.25" x14ac:dyDescent="0.35">
      <c r="A27" s="64" t="s">
        <v>13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O27" s="87" t="s">
        <v>163</v>
      </c>
      <c r="P27" s="87">
        <v>2</v>
      </c>
      <c r="T27" s="87" t="s">
        <v>163</v>
      </c>
      <c r="U27" s="87">
        <v>2</v>
      </c>
      <c r="Y27" s="87" t="s">
        <v>163</v>
      </c>
      <c r="Z27" s="87">
        <v>2</v>
      </c>
    </row>
    <row r="28" spans="1:26" x14ac:dyDescent="0.25">
      <c r="B28" t="s">
        <v>232</v>
      </c>
    </row>
    <row r="31" spans="1:26" x14ac:dyDescent="0.25">
      <c r="A31" t="s">
        <v>247</v>
      </c>
    </row>
    <row r="32" spans="1:26" x14ac:dyDescent="0.25">
      <c r="A32" t="s">
        <v>243</v>
      </c>
      <c r="D32" t="s">
        <v>191</v>
      </c>
      <c r="E32" t="s">
        <v>248</v>
      </c>
      <c r="F32" s="25">
        <v>42705</v>
      </c>
      <c r="G32" t="s">
        <v>159</v>
      </c>
    </row>
    <row r="33" spans="1:26" x14ac:dyDescent="0.25">
      <c r="A33" t="s">
        <v>205</v>
      </c>
      <c r="D33" t="s">
        <v>191</v>
      </c>
      <c r="E33" t="s">
        <v>249</v>
      </c>
      <c r="F33" s="25">
        <v>42370</v>
      </c>
      <c r="G33" t="s">
        <v>206</v>
      </c>
    </row>
    <row r="34" spans="1:26" x14ac:dyDescent="0.25">
      <c r="A34" t="s">
        <v>209</v>
      </c>
      <c r="D34" t="s">
        <v>191</v>
      </c>
      <c r="E34" t="s">
        <v>249</v>
      </c>
      <c r="F34" s="25">
        <v>42583</v>
      </c>
      <c r="G34" t="s">
        <v>207</v>
      </c>
    </row>
    <row r="40" spans="1:26" ht="17.25" x14ac:dyDescent="0.3">
      <c r="N40" s="94" t="s">
        <v>240</v>
      </c>
    </row>
    <row r="41" spans="1:26" x14ac:dyDescent="0.25">
      <c r="N41" s="93" t="s">
        <v>238</v>
      </c>
      <c r="O41" s="88"/>
      <c r="P41" s="93" t="s">
        <v>239</v>
      </c>
      <c r="Q41" s="88"/>
    </row>
    <row r="42" spans="1:26" x14ac:dyDescent="0.25">
      <c r="N42" s="89" t="s">
        <v>191</v>
      </c>
      <c r="O42" s="90">
        <v>13.3</v>
      </c>
      <c r="P42" s="89" t="s">
        <v>191</v>
      </c>
      <c r="Q42" s="90">
        <v>14</v>
      </c>
    </row>
    <row r="43" spans="1:26" ht="23.25" x14ac:dyDescent="0.35">
      <c r="N43" s="64" t="s">
        <v>13</v>
      </c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O44" t="s">
        <v>232</v>
      </c>
    </row>
    <row r="47" spans="1:26" x14ac:dyDescent="0.25">
      <c r="N47" t="s">
        <v>247</v>
      </c>
    </row>
    <row r="48" spans="1:26" x14ac:dyDescent="0.25">
      <c r="N48" t="s">
        <v>196</v>
      </c>
      <c r="Q48" t="s">
        <v>191</v>
      </c>
      <c r="R48" t="s">
        <v>250</v>
      </c>
      <c r="S48" t="s">
        <v>254</v>
      </c>
      <c r="T48" t="s">
        <v>197</v>
      </c>
    </row>
    <row r="49" spans="14:20" x14ac:dyDescent="0.25">
      <c r="N49" t="s">
        <v>198</v>
      </c>
      <c r="Q49" t="s">
        <v>191</v>
      </c>
      <c r="R49" t="s">
        <v>251</v>
      </c>
      <c r="S49" t="s">
        <v>255</v>
      </c>
      <c r="T49" t="s">
        <v>197</v>
      </c>
    </row>
    <row r="50" spans="14:20" x14ac:dyDescent="0.25">
      <c r="N50" t="s">
        <v>199</v>
      </c>
      <c r="Q50" t="s">
        <v>191</v>
      </c>
      <c r="R50" t="s">
        <v>252</v>
      </c>
      <c r="S50" t="s">
        <v>255</v>
      </c>
      <c r="T50" t="s">
        <v>159</v>
      </c>
    </row>
    <row r="51" spans="14:20" x14ac:dyDescent="0.25">
      <c r="N51" t="s">
        <v>201</v>
      </c>
      <c r="Q51" t="s">
        <v>234</v>
      </c>
      <c r="R51" t="s">
        <v>251</v>
      </c>
      <c r="S51" t="s">
        <v>256</v>
      </c>
      <c r="T51" t="s">
        <v>202</v>
      </c>
    </row>
    <row r="52" spans="14:20" x14ac:dyDescent="0.25">
      <c r="N52" t="s">
        <v>200</v>
      </c>
      <c r="Q52" t="s">
        <v>191</v>
      </c>
      <c r="R52" t="s">
        <v>253</v>
      </c>
      <c r="S52" t="s">
        <v>255</v>
      </c>
      <c r="T52" t="s">
        <v>195</v>
      </c>
    </row>
  </sheetData>
  <mergeCells count="9">
    <mergeCell ref="X25:Z25"/>
    <mergeCell ref="N4:P4"/>
    <mergeCell ref="S4:U4"/>
    <mergeCell ref="X4:Z4"/>
    <mergeCell ref="A4:C4"/>
    <mergeCell ref="F4:H4"/>
    <mergeCell ref="K4:M4"/>
    <mergeCell ref="N25:P25"/>
    <mergeCell ref="S25:U25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26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8" sqref="E8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10.5703125" style="3" bestFit="1" customWidth="1"/>
    <col min="13" max="13" width="14.5703125" style="76" bestFit="1" customWidth="1"/>
    <col min="14" max="15" width="15.5703125" style="84" bestFit="1" customWidth="1"/>
    <col min="16" max="17" width="15.5703125" style="76" bestFit="1" customWidth="1"/>
    <col min="18" max="18" width="15.5703125" style="3" bestFit="1" customWidth="1"/>
    <col min="19" max="16384" width="9.140625" style="3"/>
  </cols>
  <sheetData>
    <row r="1" spans="1:26" x14ac:dyDescent="0.25">
      <c r="B1" s="4" t="s">
        <v>12</v>
      </c>
      <c r="C1" s="4"/>
      <c r="D1" s="29"/>
      <c r="E1" s="35"/>
      <c r="F1" s="49"/>
      <c r="G1" s="5"/>
      <c r="H1" s="5"/>
      <c r="I1" s="132" t="s">
        <v>201</v>
      </c>
      <c r="J1" s="132"/>
      <c r="K1" s="132"/>
      <c r="L1" s="132"/>
      <c r="M1" s="73" t="s">
        <v>164</v>
      </c>
      <c r="N1" s="14" t="s">
        <v>219</v>
      </c>
      <c r="O1" s="14"/>
      <c r="P1" s="73"/>
      <c r="Q1" s="73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B2" s="26" t="s">
        <v>1</v>
      </c>
      <c r="C2" s="26" t="s">
        <v>2</v>
      </c>
      <c r="D2" s="29" t="s">
        <v>3</v>
      </c>
      <c r="E2" s="35" t="s">
        <v>4</v>
      </c>
      <c r="F2" s="49" t="s">
        <v>5</v>
      </c>
      <c r="G2" s="5"/>
      <c r="H2" s="5"/>
      <c r="I2" s="132"/>
      <c r="J2" s="132"/>
      <c r="K2" s="132"/>
      <c r="L2" s="132"/>
      <c r="M2" s="73" t="s">
        <v>165</v>
      </c>
      <c r="N2" s="14" t="s">
        <v>263</v>
      </c>
      <c r="O2" s="14"/>
      <c r="P2" s="73"/>
      <c r="Q2" s="73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30">
        <v>2678</v>
      </c>
      <c r="B3" s="60" t="s">
        <v>243</v>
      </c>
      <c r="C3" s="60" t="s">
        <v>159</v>
      </c>
      <c r="D3" s="30">
        <v>395</v>
      </c>
      <c r="E3" s="36">
        <v>105</v>
      </c>
      <c r="F3" s="50">
        <v>42381.541666666664</v>
      </c>
      <c r="G3" s="5"/>
      <c r="H3" s="5"/>
      <c r="I3" s="5"/>
      <c r="J3" s="5"/>
      <c r="K3" s="5"/>
      <c r="L3" s="5"/>
      <c r="M3" s="73"/>
      <c r="N3" s="14"/>
      <c r="O3" s="14"/>
      <c r="P3" s="73"/>
      <c r="Q3" s="73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>
        <v>2624</v>
      </c>
      <c r="B4" s="6" t="s">
        <v>209</v>
      </c>
      <c r="C4" s="6" t="s">
        <v>207</v>
      </c>
      <c r="D4" s="31">
        <v>277</v>
      </c>
      <c r="E4" s="37">
        <v>120</v>
      </c>
      <c r="F4" s="52">
        <v>42377.833333333336</v>
      </c>
      <c r="G4" s="5"/>
      <c r="H4" s="5"/>
      <c r="I4" s="5"/>
      <c r="J4" s="5"/>
      <c r="K4" s="5"/>
      <c r="L4" s="5"/>
      <c r="M4" s="73"/>
      <c r="N4" s="14"/>
      <c r="O4" s="14"/>
      <c r="P4" s="73"/>
      <c r="Q4" s="73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>
        <v>2493</v>
      </c>
      <c r="B5" s="60" t="s">
        <v>205</v>
      </c>
      <c r="C5" s="60" t="s">
        <v>206</v>
      </c>
      <c r="D5" s="30">
        <v>274.67001342773437</v>
      </c>
      <c r="E5" s="36">
        <v>120</v>
      </c>
      <c r="F5" s="50">
        <v>42370.854166666664</v>
      </c>
      <c r="G5" s="5"/>
      <c r="H5" s="5"/>
      <c r="I5" s="5"/>
      <c r="J5" s="5"/>
      <c r="K5" s="5"/>
      <c r="L5" s="5"/>
      <c r="M5" s="73"/>
      <c r="N5" s="14"/>
      <c r="O5" s="14"/>
      <c r="P5" s="73"/>
      <c r="Q5" s="73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>
        <v>2414</v>
      </c>
      <c r="B6" s="6" t="s">
        <v>199</v>
      </c>
      <c r="C6" s="6" t="s">
        <v>159</v>
      </c>
      <c r="D6" s="31">
        <v>365.89999389648437</v>
      </c>
      <c r="E6" s="37">
        <v>155</v>
      </c>
      <c r="F6" s="52">
        <v>42367.635416666664</v>
      </c>
      <c r="G6" s="5"/>
      <c r="H6" s="5"/>
      <c r="I6" s="5"/>
      <c r="J6" s="5"/>
      <c r="K6" s="5"/>
      <c r="L6" s="5"/>
      <c r="M6" s="73"/>
      <c r="N6" s="14"/>
      <c r="O6" s="14"/>
      <c r="P6" s="73"/>
      <c r="Q6" s="73"/>
      <c r="R6" s="5"/>
      <c r="S6" s="5"/>
      <c r="T6" s="5"/>
      <c r="U6" s="5"/>
      <c r="V6" s="5"/>
      <c r="W6" s="5"/>
      <c r="X6" s="5"/>
      <c r="Y6" s="5"/>
      <c r="Z6" s="5"/>
    </row>
    <row r="7" spans="1:26" ht="15.75" thickBot="1" x14ac:dyDescent="0.3">
      <c r="A7" s="30">
        <v>2387</v>
      </c>
      <c r="B7" s="60" t="s">
        <v>200</v>
      </c>
      <c r="C7" s="60" t="s">
        <v>195</v>
      </c>
      <c r="D7" s="30">
        <v>365.79998779296875</v>
      </c>
      <c r="E7" s="36">
        <v>141</v>
      </c>
      <c r="F7" s="50">
        <v>42367.145833333336</v>
      </c>
      <c r="G7" s="5"/>
      <c r="H7" s="5"/>
      <c r="I7" s="5"/>
      <c r="J7" s="5"/>
      <c r="K7" s="5"/>
      <c r="L7" s="5"/>
      <c r="M7" s="73"/>
      <c r="N7" s="14"/>
      <c r="O7" s="14"/>
      <c r="P7" s="73"/>
      <c r="Q7" s="73"/>
      <c r="R7" s="5"/>
      <c r="S7" s="5"/>
      <c r="T7" s="5"/>
      <c r="U7" s="5"/>
      <c r="V7" s="5"/>
      <c r="W7" s="5"/>
      <c r="X7" s="5"/>
      <c r="Y7" s="5"/>
      <c r="Z7" s="5"/>
    </row>
    <row r="8" spans="1:26" ht="15.75" thickBot="1" x14ac:dyDescent="0.3">
      <c r="A8" s="70">
        <v>2171</v>
      </c>
      <c r="B8" s="96" t="s">
        <v>201</v>
      </c>
      <c r="C8" s="96" t="s">
        <v>202</v>
      </c>
      <c r="D8" s="97">
        <v>288.8599853515625</v>
      </c>
      <c r="E8" s="98">
        <v>140</v>
      </c>
      <c r="F8" s="99">
        <v>42366.916666666664</v>
      </c>
      <c r="G8" s="5"/>
      <c r="H8" s="5"/>
      <c r="I8" s="5"/>
      <c r="J8" s="5"/>
      <c r="K8" s="5"/>
      <c r="L8" s="5"/>
      <c r="M8" s="73"/>
      <c r="N8" s="14"/>
      <c r="O8" s="14"/>
      <c r="P8" s="73"/>
      <c r="Q8" s="73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60"/>
      <c r="C9" s="60"/>
      <c r="D9" s="30"/>
      <c r="E9" s="36"/>
      <c r="F9" s="50"/>
      <c r="G9" s="5"/>
      <c r="H9" s="5"/>
      <c r="I9" s="5"/>
      <c r="J9" s="5"/>
      <c r="K9" s="5"/>
      <c r="L9" s="5"/>
      <c r="M9" s="73"/>
      <c r="N9" s="14"/>
      <c r="O9" s="14"/>
      <c r="P9" s="73"/>
      <c r="Q9" s="73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6"/>
      <c r="C10" s="6"/>
      <c r="D10" s="31"/>
      <c r="E10" s="37"/>
      <c r="F10" s="52"/>
      <c r="G10" s="5"/>
      <c r="H10" s="5"/>
      <c r="I10" s="5"/>
      <c r="J10" s="5"/>
      <c r="K10" s="5"/>
      <c r="L10" s="5"/>
      <c r="M10" s="73"/>
      <c r="N10" s="14"/>
      <c r="O10" s="14"/>
      <c r="P10" s="73"/>
      <c r="Q10" s="73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60"/>
      <c r="C11" s="60"/>
      <c r="D11" s="30"/>
      <c r="E11" s="36"/>
      <c r="F11" s="50"/>
      <c r="G11" s="5"/>
      <c r="H11" s="5"/>
      <c r="I11" s="5"/>
      <c r="J11" s="5"/>
      <c r="K11" s="5"/>
      <c r="L11" s="5"/>
      <c r="M11" s="73"/>
      <c r="N11" s="14"/>
      <c r="O11" s="14"/>
      <c r="P11" s="73"/>
      <c r="Q11" s="73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6"/>
      <c r="C12" s="6"/>
      <c r="D12" s="31"/>
      <c r="E12" s="37"/>
      <c r="F12" s="52"/>
      <c r="G12" s="5"/>
      <c r="H12" s="5"/>
      <c r="I12" s="5"/>
      <c r="J12" s="5"/>
      <c r="K12" s="5"/>
      <c r="L12" s="5"/>
      <c r="M12" s="73"/>
      <c r="N12" s="14"/>
      <c r="O12" s="14"/>
      <c r="P12" s="73"/>
      <c r="Q12" s="73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60"/>
      <c r="C13" s="60"/>
      <c r="D13" s="30"/>
      <c r="E13" s="36"/>
      <c r="F13" s="50"/>
      <c r="G13" s="5"/>
      <c r="H13" s="5"/>
      <c r="I13" s="5"/>
      <c r="J13" s="5"/>
      <c r="K13" s="5"/>
      <c r="L13" s="5"/>
      <c r="M13" s="73"/>
      <c r="N13" s="14"/>
      <c r="O13" s="14"/>
      <c r="P13" s="73"/>
      <c r="Q13" s="73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6"/>
      <c r="C14" s="6"/>
      <c r="D14" s="31"/>
      <c r="E14" s="37"/>
      <c r="F14" s="52"/>
      <c r="G14" s="5"/>
      <c r="H14" s="5"/>
      <c r="I14" s="5"/>
      <c r="J14" s="5"/>
      <c r="K14" s="5"/>
      <c r="L14" s="5"/>
      <c r="M14" s="73"/>
      <c r="N14" s="14"/>
      <c r="O14" s="14"/>
      <c r="P14" s="73"/>
      <c r="Q14" s="73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60"/>
      <c r="C15" s="60"/>
      <c r="D15" s="30"/>
      <c r="E15" s="36"/>
      <c r="F15" s="50"/>
      <c r="G15" s="5"/>
      <c r="H15" s="5"/>
      <c r="I15" s="5"/>
      <c r="J15" s="5"/>
      <c r="K15" s="5"/>
      <c r="L15" s="5"/>
      <c r="M15" s="73"/>
      <c r="N15" s="14"/>
      <c r="O15" s="14"/>
      <c r="P15" s="73"/>
      <c r="Q15" s="73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6"/>
      <c r="C16" s="6"/>
      <c r="D16" s="31"/>
      <c r="E16" s="37"/>
      <c r="F16" s="52"/>
      <c r="G16" s="5"/>
      <c r="H16" s="5"/>
      <c r="I16" s="5"/>
      <c r="J16" s="5"/>
      <c r="K16" s="5"/>
      <c r="L16" s="5"/>
      <c r="M16" s="73"/>
      <c r="N16" s="14"/>
      <c r="O16" s="14"/>
      <c r="P16" s="73"/>
      <c r="Q16" s="73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60"/>
      <c r="C17" s="60"/>
      <c r="D17" s="30"/>
      <c r="E17" s="36"/>
      <c r="F17" s="50"/>
      <c r="G17" s="5"/>
      <c r="H17" s="5"/>
      <c r="I17" s="5"/>
      <c r="J17" s="5"/>
      <c r="K17" s="5"/>
      <c r="L17" s="5"/>
      <c r="M17" s="73"/>
      <c r="N17" s="14"/>
      <c r="O17" s="14"/>
      <c r="P17" s="73"/>
      <c r="Q17" s="73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6"/>
      <c r="C18" s="6"/>
      <c r="D18" s="31"/>
      <c r="E18" s="37"/>
      <c r="F18" s="52"/>
      <c r="G18" s="5"/>
      <c r="H18" s="5"/>
      <c r="I18" s="5"/>
      <c r="J18" s="5"/>
      <c r="K18" s="5"/>
      <c r="L18" s="5"/>
      <c r="M18" s="73"/>
      <c r="N18" s="14"/>
      <c r="O18" s="14"/>
      <c r="P18" s="73"/>
      <c r="Q18" s="73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60"/>
      <c r="C19" s="60"/>
      <c r="D19" s="30"/>
      <c r="E19" s="36"/>
      <c r="F19" s="50"/>
      <c r="G19" s="5"/>
      <c r="H19" s="5"/>
      <c r="I19" s="5"/>
      <c r="J19" s="5"/>
      <c r="K19" s="5"/>
      <c r="L19" s="5"/>
      <c r="M19" s="73"/>
      <c r="N19" s="14"/>
      <c r="O19" s="14"/>
      <c r="P19" s="73"/>
      <c r="Q19" s="73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6"/>
      <c r="C20" s="6"/>
      <c r="D20" s="31"/>
      <c r="E20" s="37"/>
      <c r="F20" s="52"/>
      <c r="G20" s="5"/>
      <c r="H20" s="5"/>
      <c r="I20" s="5"/>
      <c r="J20" s="5"/>
      <c r="K20" s="5"/>
      <c r="L20" s="5"/>
      <c r="M20" s="73"/>
      <c r="N20" s="14"/>
      <c r="O20" s="14"/>
      <c r="P20" s="73"/>
      <c r="Q20" s="73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60"/>
      <c r="C21" s="60"/>
      <c r="D21" s="30"/>
      <c r="E21" s="36"/>
      <c r="F21" s="50"/>
      <c r="G21" s="5"/>
      <c r="H21" s="5"/>
      <c r="I21" s="5"/>
      <c r="J21" s="5"/>
      <c r="K21" s="5"/>
      <c r="L21" s="5"/>
      <c r="M21" s="73"/>
      <c r="N21" s="14"/>
      <c r="O21" s="14"/>
      <c r="P21" s="73"/>
      <c r="Q21" s="73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6"/>
      <c r="C22" s="6"/>
      <c r="D22" s="31"/>
      <c r="E22" s="37"/>
      <c r="F22" s="52"/>
      <c r="G22" s="5"/>
      <c r="H22" s="5"/>
      <c r="I22" s="5"/>
      <c r="J22" s="5"/>
      <c r="K22" s="5"/>
      <c r="L22" s="5"/>
      <c r="M22" s="73"/>
      <c r="N22" s="14"/>
      <c r="O22" s="14"/>
      <c r="P22" s="73"/>
      <c r="Q22" s="73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60"/>
      <c r="C23" s="60"/>
      <c r="D23" s="30"/>
      <c r="E23" s="36"/>
      <c r="F23" s="50"/>
      <c r="G23" s="5"/>
      <c r="H23" s="5"/>
      <c r="I23" s="5"/>
      <c r="J23" s="5"/>
      <c r="K23" s="5"/>
      <c r="L23" s="5"/>
      <c r="M23" s="73"/>
      <c r="N23" s="14"/>
      <c r="O23" s="14"/>
      <c r="P23" s="73"/>
      <c r="Q23" s="73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6"/>
      <c r="C24" s="6"/>
      <c r="D24" s="31"/>
      <c r="E24" s="37"/>
      <c r="F24" s="52"/>
      <c r="G24" s="5"/>
      <c r="H24" s="5"/>
      <c r="I24" s="5"/>
      <c r="J24" s="5"/>
      <c r="K24" s="5"/>
      <c r="L24" s="5"/>
      <c r="M24" s="73"/>
      <c r="N24" s="14"/>
      <c r="O24" s="14"/>
      <c r="P24" s="73"/>
      <c r="Q24" s="73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60"/>
      <c r="C25" s="60"/>
      <c r="D25" s="30"/>
      <c r="E25" s="36"/>
      <c r="F25" s="50"/>
      <c r="G25" s="5"/>
      <c r="H25" s="5"/>
      <c r="I25" s="5"/>
      <c r="J25" s="5"/>
      <c r="K25" s="5"/>
      <c r="L25" s="5"/>
      <c r="M25" s="73"/>
      <c r="N25" s="14"/>
      <c r="O25" s="14"/>
      <c r="P25" s="73"/>
      <c r="Q25" s="73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6"/>
      <c r="C26" s="6"/>
      <c r="D26" s="31"/>
      <c r="E26" s="37"/>
      <c r="F26" s="52"/>
      <c r="G26" s="5"/>
      <c r="H26" s="5"/>
      <c r="I26" s="5"/>
      <c r="J26" s="5"/>
      <c r="K26" s="5"/>
      <c r="L26" s="5"/>
      <c r="M26" s="73"/>
      <c r="N26" s="14"/>
      <c r="O26" s="14"/>
      <c r="P26" s="73"/>
      <c r="Q26" s="73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60"/>
      <c r="C27" s="60"/>
      <c r="D27" s="30"/>
      <c r="E27" s="36"/>
      <c r="F27" s="50"/>
      <c r="G27" s="5"/>
      <c r="H27" s="5"/>
      <c r="I27" s="5"/>
      <c r="J27" s="5"/>
      <c r="K27" s="5"/>
      <c r="L27" s="5"/>
      <c r="M27" s="73"/>
      <c r="N27" s="14"/>
      <c r="O27" s="14"/>
      <c r="P27" s="73"/>
      <c r="Q27" s="73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6"/>
      <c r="C28" s="6"/>
      <c r="D28" s="31"/>
      <c r="E28" s="37"/>
      <c r="F28" s="52"/>
      <c r="G28" s="5"/>
      <c r="H28" s="5"/>
      <c r="I28" s="5"/>
      <c r="J28" s="5"/>
      <c r="K28" s="5"/>
      <c r="L28" s="5"/>
      <c r="M28" s="73"/>
      <c r="N28" s="14"/>
      <c r="O28" s="14"/>
      <c r="P28" s="73"/>
      <c r="Q28" s="73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60"/>
      <c r="C29" s="60"/>
      <c r="D29" s="30"/>
      <c r="E29" s="36"/>
      <c r="F29" s="50"/>
      <c r="G29" s="5"/>
      <c r="H29" s="5"/>
      <c r="I29" s="5"/>
      <c r="J29" s="5"/>
      <c r="K29" s="5"/>
      <c r="L29" s="5"/>
      <c r="M29" s="73"/>
      <c r="N29" s="14"/>
      <c r="O29" s="14"/>
      <c r="P29" s="73"/>
      <c r="Q29" s="73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6"/>
      <c r="C30" s="6"/>
      <c r="D30" s="31"/>
      <c r="E30" s="37"/>
      <c r="F30" s="52"/>
      <c r="G30" s="5"/>
      <c r="H30" s="5"/>
      <c r="I30" s="5"/>
      <c r="J30" s="5"/>
      <c r="K30" s="5"/>
      <c r="L30" s="5"/>
      <c r="M30" s="73"/>
      <c r="N30" s="14"/>
      <c r="O30" s="14"/>
      <c r="P30" s="73"/>
      <c r="Q30" s="73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60"/>
      <c r="C31" s="60"/>
      <c r="D31" s="30"/>
      <c r="E31" s="36"/>
      <c r="F31" s="50"/>
      <c r="G31" s="5"/>
      <c r="H31" s="5"/>
      <c r="I31" s="5"/>
      <c r="J31" s="5"/>
      <c r="K31" s="5"/>
      <c r="L31" s="5"/>
      <c r="M31" s="73"/>
      <c r="N31" s="14"/>
      <c r="O31" s="14"/>
      <c r="P31" s="73"/>
      <c r="Q31" s="73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6"/>
      <c r="C32" s="6"/>
      <c r="D32" s="31"/>
      <c r="E32" s="37"/>
      <c r="F32" s="52"/>
      <c r="G32" s="5"/>
      <c r="H32" s="5"/>
      <c r="I32" s="5"/>
      <c r="J32" s="5"/>
      <c r="K32" s="5"/>
      <c r="L32" s="5"/>
      <c r="M32" s="73"/>
      <c r="N32" s="14"/>
      <c r="O32" s="14"/>
      <c r="P32" s="73"/>
      <c r="Q32" s="73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60"/>
      <c r="C33" s="60"/>
      <c r="D33" s="30"/>
      <c r="E33" s="36"/>
      <c r="F33" s="50"/>
      <c r="G33" s="5"/>
      <c r="H33" s="5"/>
      <c r="I33" s="5"/>
      <c r="J33" s="5"/>
      <c r="K33" s="5"/>
      <c r="L33" s="5"/>
      <c r="M33" s="73"/>
      <c r="N33" s="14"/>
      <c r="O33" s="14"/>
      <c r="P33" s="73"/>
      <c r="Q33" s="73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6"/>
      <c r="C34" s="6"/>
      <c r="D34" s="31"/>
      <c r="E34" s="37"/>
      <c r="F34" s="52"/>
      <c r="G34" s="5"/>
      <c r="H34" s="5"/>
      <c r="I34" s="5"/>
      <c r="J34" s="5"/>
      <c r="K34" s="5"/>
      <c r="L34" s="5"/>
      <c r="M34" s="73"/>
      <c r="N34" s="14"/>
      <c r="O34" s="14"/>
      <c r="P34" s="73"/>
      <c r="Q34" s="73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60"/>
      <c r="C35" s="60"/>
      <c r="D35" s="30"/>
      <c r="E35" s="36"/>
      <c r="F35" s="50"/>
      <c r="G35" s="5"/>
      <c r="H35" s="5"/>
      <c r="I35" s="5"/>
      <c r="J35" s="100" t="s">
        <v>241</v>
      </c>
      <c r="K35" s="101">
        <v>42366.90084490741</v>
      </c>
      <c r="L35" s="100"/>
      <c r="M35" s="102">
        <v>42367.241076388891</v>
      </c>
      <c r="N35" s="14"/>
      <c r="O35" s="14"/>
      <c r="P35" s="73"/>
      <c r="Q35" s="73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6"/>
      <c r="C36" s="6"/>
      <c r="D36" s="31"/>
      <c r="E36" s="37"/>
      <c r="F36" s="52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5" t="s">
        <v>170</v>
      </c>
      <c r="N36" s="69" t="s">
        <v>171</v>
      </c>
      <c r="O36" s="69" t="s">
        <v>172</v>
      </c>
      <c r="P36" s="75" t="s">
        <v>172</v>
      </c>
      <c r="Q36" s="75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6.5" thickTop="1" thickBot="1" x14ac:dyDescent="0.3">
      <c r="A37" s="30"/>
      <c r="B37" s="60"/>
      <c r="C37" s="60"/>
      <c r="D37" s="30"/>
      <c r="E37" s="36"/>
      <c r="F37" s="50"/>
      <c r="G37" s="5"/>
      <c r="H37" s="5"/>
      <c r="I37" s="82" t="s">
        <v>162</v>
      </c>
      <c r="J37" s="78">
        <v>187</v>
      </c>
      <c r="K37" s="78" t="s">
        <v>224</v>
      </c>
      <c r="L37" s="78" t="s">
        <v>210</v>
      </c>
      <c r="M37" s="79">
        <v>0</v>
      </c>
      <c r="N37" s="83">
        <v>42366.541655092595</v>
      </c>
      <c r="O37" s="83">
        <v>42366.90084490741</v>
      </c>
      <c r="P37" s="85">
        <v>42367.241076388891</v>
      </c>
      <c r="Q37" s="85">
        <v>42367.916678240741</v>
      </c>
      <c r="R37" s="80">
        <v>42367.066666666666</v>
      </c>
      <c r="S37" s="81"/>
      <c r="T37" s="5"/>
      <c r="U37" s="5"/>
      <c r="V37" s="5"/>
      <c r="W37" s="5"/>
      <c r="X37" s="5"/>
      <c r="Y37" s="5"/>
      <c r="Z37" s="5"/>
    </row>
    <row r="38" spans="1:26" ht="15.75" thickTop="1" x14ac:dyDescent="0.25">
      <c r="A38" s="31"/>
      <c r="B38" s="6"/>
      <c r="C38" s="6"/>
      <c r="D38" s="31"/>
      <c r="E38" s="37"/>
      <c r="F38" s="52"/>
      <c r="G38" s="5"/>
      <c r="H38" s="5"/>
      <c r="I38" s="5" t="s">
        <v>192</v>
      </c>
      <c r="J38" s="5">
        <v>200</v>
      </c>
      <c r="K38" s="5" t="s">
        <v>224</v>
      </c>
      <c r="L38" s="5" t="s">
        <v>210</v>
      </c>
      <c r="M38" s="73">
        <v>0</v>
      </c>
      <c r="N38" s="27">
        <v>42366.561099537037</v>
      </c>
      <c r="O38" s="27">
        <v>42366.920289351852</v>
      </c>
      <c r="P38" s="77">
        <v>42367.260520833333</v>
      </c>
      <c r="Q38" s="77">
        <v>42367.936122685183</v>
      </c>
      <c r="R38" s="5"/>
      <c r="S38" s="5">
        <v>10.5</v>
      </c>
      <c r="T38" s="5"/>
      <c r="U38" s="5"/>
      <c r="V38" s="5"/>
      <c r="W38" s="5"/>
      <c r="X38" s="5"/>
      <c r="Y38" s="5"/>
      <c r="Z38" s="5"/>
    </row>
    <row r="39" spans="1:26" x14ac:dyDescent="0.25">
      <c r="A39" s="30"/>
      <c r="B39" s="60"/>
      <c r="C39" s="60"/>
      <c r="D39" s="30"/>
      <c r="E39" s="36"/>
      <c r="F39" s="50"/>
      <c r="G39" s="5"/>
      <c r="H39" s="5"/>
      <c r="I39" s="5" t="s">
        <v>193</v>
      </c>
      <c r="J39" s="5">
        <v>159</v>
      </c>
      <c r="K39" s="5" t="s">
        <v>224</v>
      </c>
      <c r="L39" s="5" t="s">
        <v>210</v>
      </c>
      <c r="M39" s="73" t="s">
        <v>264</v>
      </c>
      <c r="N39" s="27">
        <v>42366.574305555558</v>
      </c>
      <c r="O39" s="27">
        <v>42366.933483796296</v>
      </c>
      <c r="P39" s="77">
        <v>42367.273715277777</v>
      </c>
      <c r="Q39" s="77">
        <v>42367.949305555558</v>
      </c>
      <c r="R39" s="5"/>
      <c r="S39" s="5">
        <v>10.5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6"/>
      <c r="C40" s="6"/>
      <c r="D40" s="31"/>
      <c r="E40" s="37"/>
      <c r="F40" s="52"/>
      <c r="G40" s="5"/>
      <c r="H40" s="5"/>
      <c r="I40" s="5" t="s">
        <v>173</v>
      </c>
      <c r="J40" s="5">
        <v>160</v>
      </c>
      <c r="K40" s="5" t="s">
        <v>224</v>
      </c>
      <c r="L40" s="5" t="s">
        <v>210</v>
      </c>
      <c r="M40" s="73" t="s">
        <v>242</v>
      </c>
      <c r="N40" s="27">
        <v>42366.585416666669</v>
      </c>
      <c r="O40" s="27">
        <v>42366.944594907407</v>
      </c>
      <c r="P40" s="77">
        <v>42367.284826388888</v>
      </c>
      <c r="Q40" s="77">
        <v>42367.960416666669</v>
      </c>
      <c r="R40" s="5"/>
      <c r="S40" s="5">
        <v>10.5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60"/>
      <c r="C41" s="60"/>
      <c r="D41" s="30"/>
      <c r="E41" s="36"/>
      <c r="F41" s="50"/>
      <c r="G41" s="5"/>
      <c r="H41" s="5"/>
      <c r="I41" s="5" t="s">
        <v>174</v>
      </c>
      <c r="J41" s="5">
        <v>158</v>
      </c>
      <c r="K41" s="5" t="s">
        <v>224</v>
      </c>
      <c r="L41" s="5" t="s">
        <v>210</v>
      </c>
      <c r="M41" s="73" t="s">
        <v>203</v>
      </c>
      <c r="N41" s="27">
        <v>42366.592361111114</v>
      </c>
      <c r="O41" s="27">
        <v>42366.949456018519</v>
      </c>
      <c r="P41" s="77">
        <v>42367.289687500001</v>
      </c>
      <c r="Q41" s="77">
        <v>42367.963888888888</v>
      </c>
      <c r="R41" s="5"/>
      <c r="S41" s="5">
        <v>10.5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6"/>
      <c r="C42" s="6"/>
      <c r="D42" s="31"/>
      <c r="E42" s="37"/>
      <c r="F42" s="52"/>
      <c r="G42" s="5"/>
      <c r="H42" s="5"/>
      <c r="I42" s="5" t="s">
        <v>175</v>
      </c>
      <c r="J42" s="5">
        <v>154</v>
      </c>
      <c r="K42" s="5" t="s">
        <v>224</v>
      </c>
      <c r="L42" s="5" t="s">
        <v>210</v>
      </c>
      <c r="M42" s="73" t="s">
        <v>227</v>
      </c>
      <c r="N42" s="27">
        <v>42366.605555555558</v>
      </c>
      <c r="O42" s="27">
        <v>42366.961956018517</v>
      </c>
      <c r="P42" s="77">
        <v>42367.302187499998</v>
      </c>
      <c r="Q42" s="77">
        <v>42367.383333333331</v>
      </c>
      <c r="R42" s="5"/>
      <c r="S42" s="5">
        <v>10.5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60"/>
      <c r="C43" s="60"/>
      <c r="D43" s="30"/>
      <c r="E43" s="36"/>
      <c r="F43" s="50"/>
      <c r="G43" s="5"/>
      <c r="H43" s="5"/>
      <c r="I43" s="5" t="s">
        <v>176</v>
      </c>
      <c r="J43" s="5">
        <v>154</v>
      </c>
      <c r="K43" s="5" t="s">
        <v>224</v>
      </c>
      <c r="L43" s="5" t="s">
        <v>210</v>
      </c>
      <c r="M43" s="73" t="s">
        <v>227</v>
      </c>
      <c r="N43" s="27">
        <v>42366.607638888891</v>
      </c>
      <c r="O43" s="27">
        <v>42366.964733796296</v>
      </c>
      <c r="P43" s="77">
        <v>42367.304965277777</v>
      </c>
      <c r="Q43" s="77">
        <v>42367.384722222225</v>
      </c>
      <c r="R43" s="5"/>
      <c r="S43" s="5">
        <v>10.5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6"/>
      <c r="C44" s="6"/>
      <c r="D44" s="31"/>
      <c r="E44" s="37"/>
      <c r="F44" s="52"/>
      <c r="G44" s="5"/>
      <c r="H44" s="5"/>
      <c r="I44" s="5" t="s">
        <v>177</v>
      </c>
      <c r="J44" s="5">
        <v>153</v>
      </c>
      <c r="K44" s="5" t="s">
        <v>224</v>
      </c>
      <c r="L44" s="5" t="s">
        <v>210</v>
      </c>
      <c r="M44" s="73" t="s">
        <v>226</v>
      </c>
      <c r="N44" s="27">
        <v>42366.93240740741</v>
      </c>
      <c r="O44" s="27">
        <v>42366.978622685187</v>
      </c>
      <c r="P44" s="77">
        <v>42367.318854166668</v>
      </c>
      <c r="Q44" s="77">
        <v>42367.386111111111</v>
      </c>
      <c r="R44" s="5"/>
      <c r="S44" s="5">
        <v>10.5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60"/>
      <c r="C45" s="60"/>
      <c r="D45" s="30"/>
      <c r="E45" s="36"/>
      <c r="F45" s="50"/>
      <c r="G45" s="5"/>
      <c r="H45" s="5"/>
      <c r="I45" s="5" t="s">
        <v>178</v>
      </c>
      <c r="J45" s="5">
        <v>148</v>
      </c>
      <c r="K45" s="5" t="s">
        <v>224</v>
      </c>
      <c r="L45" s="5" t="s">
        <v>210</v>
      </c>
      <c r="M45" s="73" t="s">
        <v>225</v>
      </c>
      <c r="N45" s="27">
        <v>42366.974999999999</v>
      </c>
      <c r="O45" s="27">
        <v>42366.982789351852</v>
      </c>
      <c r="P45" s="77">
        <v>42367.323020833333</v>
      </c>
      <c r="Q45" s="77">
        <v>42367.360312500001</v>
      </c>
      <c r="R45" s="5"/>
      <c r="S45" s="5">
        <v>10.5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6"/>
      <c r="C46" s="6"/>
      <c r="D46" s="31"/>
      <c r="E46" s="37"/>
      <c r="F46" s="52"/>
      <c r="G46" s="5"/>
      <c r="H46" s="5"/>
      <c r="I46" s="5" t="s">
        <v>179</v>
      </c>
      <c r="J46" s="5">
        <v>155</v>
      </c>
      <c r="K46" s="5" t="s">
        <v>224</v>
      </c>
      <c r="L46" s="5" t="s">
        <v>8</v>
      </c>
      <c r="M46" s="73" t="s">
        <v>211</v>
      </c>
      <c r="N46" s="27">
        <v>42366.933333333334</v>
      </c>
      <c r="O46" s="27">
        <v>42366.992511574077</v>
      </c>
      <c r="P46" s="77">
        <v>42367.332743055558</v>
      </c>
      <c r="Q46" s="77">
        <v>42367.388773148145</v>
      </c>
      <c r="R46" s="5"/>
      <c r="S46" s="5">
        <v>10.5</v>
      </c>
      <c r="T46" s="5"/>
      <c r="U46" s="5"/>
      <c r="V46" s="5"/>
      <c r="W46" s="5"/>
      <c r="X46" s="5"/>
      <c r="Y46" s="5"/>
      <c r="Z46" s="5"/>
    </row>
    <row r="47" spans="1:26" x14ac:dyDescent="0.25">
      <c r="A47" s="30"/>
      <c r="B47" s="60"/>
      <c r="C47" s="60"/>
      <c r="D47" s="30"/>
      <c r="E47" s="36"/>
      <c r="F47" s="50"/>
      <c r="G47" s="5"/>
      <c r="H47" s="5"/>
      <c r="I47" s="5" t="s">
        <v>180</v>
      </c>
      <c r="J47" s="5">
        <v>152</v>
      </c>
      <c r="K47" s="5" t="s">
        <v>224</v>
      </c>
      <c r="L47" s="5" t="s">
        <v>8</v>
      </c>
      <c r="M47" s="73" t="s">
        <v>221</v>
      </c>
      <c r="N47" s="27">
        <v>42366.961111111108</v>
      </c>
      <c r="O47" s="27">
        <v>42366.998067129629</v>
      </c>
      <c r="P47" s="77">
        <v>42367.33829861111</v>
      </c>
      <c r="Q47" s="77">
        <v>42367.37232638889</v>
      </c>
      <c r="R47" s="5"/>
      <c r="S47" s="5">
        <v>10.5</v>
      </c>
      <c r="T47" s="5"/>
      <c r="U47" s="5"/>
      <c r="V47" s="5"/>
      <c r="W47" s="5"/>
      <c r="X47" s="5"/>
      <c r="Y47" s="5"/>
      <c r="Z47" s="5"/>
    </row>
    <row r="48" spans="1:26" ht="15.75" thickBot="1" x14ac:dyDescent="0.3">
      <c r="A48" s="31"/>
      <c r="B48" s="6"/>
      <c r="C48" s="6"/>
      <c r="D48" s="31"/>
      <c r="E48" s="37"/>
      <c r="F48" s="52"/>
      <c r="G48" s="5"/>
      <c r="H48" s="5"/>
      <c r="I48" s="5" t="s">
        <v>181</v>
      </c>
      <c r="J48" s="5">
        <v>148</v>
      </c>
      <c r="K48" s="5" t="s">
        <v>224</v>
      </c>
      <c r="L48" s="5" t="s">
        <v>8</v>
      </c>
      <c r="M48" s="73" t="s">
        <v>225</v>
      </c>
      <c r="N48" s="106">
        <v>42367.002256944441</v>
      </c>
      <c r="O48" s="106">
        <v>42367.005011574074</v>
      </c>
      <c r="P48" s="77">
        <v>42367.345243055555</v>
      </c>
      <c r="Q48" s="77">
        <v>42367.357719907406</v>
      </c>
      <c r="R48" s="5"/>
      <c r="S48" s="5">
        <v>10.5</v>
      </c>
      <c r="T48" s="5"/>
      <c r="U48" s="5"/>
      <c r="V48" s="5"/>
      <c r="W48" s="5"/>
      <c r="X48" s="5"/>
      <c r="Y48" s="5"/>
      <c r="Z48" s="5"/>
    </row>
    <row r="49" spans="1:26" ht="16.5" thickTop="1" thickBot="1" x14ac:dyDescent="0.3">
      <c r="A49" s="30"/>
      <c r="B49" s="60"/>
      <c r="C49" s="60"/>
      <c r="D49" s="30"/>
      <c r="E49" s="36"/>
      <c r="F49" s="50"/>
      <c r="G49" s="5"/>
      <c r="H49" s="5"/>
      <c r="I49" s="82" t="s">
        <v>8</v>
      </c>
      <c r="J49" s="78">
        <v>144</v>
      </c>
      <c r="K49" s="78" t="s">
        <v>222</v>
      </c>
      <c r="L49" s="78" t="s">
        <v>8</v>
      </c>
      <c r="M49" s="79" t="s">
        <v>223</v>
      </c>
      <c r="N49" s="107">
        <v>42367.022372685184</v>
      </c>
      <c r="O49" s="107">
        <v>42367.022372685184</v>
      </c>
      <c r="P49" s="103">
        <v>42367.362604166665</v>
      </c>
      <c r="Q49" s="103">
        <v>42367.362604166665</v>
      </c>
      <c r="R49" s="80">
        <v>42367.203472222223</v>
      </c>
      <c r="S49" s="81">
        <v>10.5</v>
      </c>
      <c r="T49" s="5"/>
      <c r="U49" s="5"/>
      <c r="V49" s="5"/>
      <c r="W49" s="5"/>
      <c r="X49" s="5"/>
      <c r="Y49" s="5"/>
      <c r="Z49" s="5"/>
    </row>
    <row r="50" spans="1:26" ht="16.5" thickTop="1" thickBot="1" x14ac:dyDescent="0.3">
      <c r="A50" s="31"/>
      <c r="B50" s="6"/>
      <c r="C50" s="6"/>
      <c r="D50" s="31"/>
      <c r="E50" s="37"/>
      <c r="F50" s="52"/>
      <c r="G50" s="5"/>
      <c r="H50" s="5"/>
      <c r="I50" s="82" t="s">
        <v>233</v>
      </c>
      <c r="J50" s="78">
        <v>145</v>
      </c>
      <c r="K50" s="78" t="s">
        <v>220</v>
      </c>
      <c r="L50" s="78" t="s">
        <v>8</v>
      </c>
      <c r="M50" s="79" t="s">
        <v>221</v>
      </c>
      <c r="N50" s="83">
        <v>42366.983506944445</v>
      </c>
      <c r="O50" s="83">
        <v>42367.046678240738</v>
      </c>
      <c r="P50" s="85">
        <v>42367.38690972222</v>
      </c>
      <c r="Q50" s="85">
        <v>42367.397569444445</v>
      </c>
      <c r="R50" s="80">
        <v>42367.262499999997</v>
      </c>
      <c r="S50" s="81">
        <v>4.9000000000000004</v>
      </c>
      <c r="T50" s="5"/>
      <c r="U50" s="5"/>
      <c r="V50" s="5"/>
      <c r="W50" s="5"/>
      <c r="X50" s="5"/>
      <c r="Y50" s="5"/>
      <c r="Z50" s="5"/>
    </row>
    <row r="51" spans="1:26" ht="15.75" thickTop="1" x14ac:dyDescent="0.25">
      <c r="A51" s="30"/>
      <c r="B51" s="60"/>
      <c r="C51" s="60"/>
      <c r="D51" s="30"/>
      <c r="E51" s="36"/>
      <c r="F51" s="50"/>
      <c r="G51" s="5"/>
      <c r="H51" s="5"/>
      <c r="I51" s="5"/>
      <c r="J51" s="5"/>
      <c r="K51" s="5"/>
      <c r="L51" s="5"/>
      <c r="M51" s="73"/>
      <c r="N51" s="27"/>
      <c r="O51" s="27"/>
      <c r="P51" s="77"/>
      <c r="Q51" s="77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thickBot="1" x14ac:dyDescent="0.3">
      <c r="A52" s="31"/>
      <c r="B52" s="6"/>
      <c r="C52" s="6"/>
      <c r="D52" s="31"/>
      <c r="E52" s="37"/>
      <c r="F52" s="52"/>
      <c r="G52" s="5"/>
      <c r="H52" s="5"/>
      <c r="I52" s="66" t="s">
        <v>212</v>
      </c>
      <c r="J52" s="66"/>
      <c r="K52" s="66"/>
      <c r="L52" s="66"/>
      <c r="M52" s="75"/>
      <c r="N52" s="95"/>
      <c r="O52" s="95"/>
      <c r="P52" s="104"/>
      <c r="Q52" s="104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60"/>
      <c r="C53" s="60"/>
      <c r="D53" s="30"/>
      <c r="E53" s="36"/>
      <c r="F53" s="50"/>
      <c r="G53" s="5"/>
      <c r="H53" s="5"/>
      <c r="I53" s="5" t="s">
        <v>213</v>
      </c>
      <c r="J53" s="5"/>
      <c r="K53" s="5" t="s">
        <v>214</v>
      </c>
      <c r="L53" s="5"/>
      <c r="M53" s="73"/>
      <c r="N53" s="27"/>
      <c r="O53" s="27"/>
      <c r="P53" s="77"/>
      <c r="Q53" s="77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6"/>
      <c r="C54" s="6"/>
      <c r="D54" s="31"/>
      <c r="E54" s="37"/>
      <c r="F54" s="52"/>
      <c r="G54" s="5"/>
      <c r="H54" s="5"/>
      <c r="I54" s="5"/>
      <c r="J54" s="5"/>
      <c r="K54" s="5"/>
      <c r="L54" s="5"/>
      <c r="M54" s="73"/>
      <c r="N54" s="27"/>
      <c r="O54" s="27"/>
      <c r="P54" s="77"/>
      <c r="Q54" s="77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60"/>
      <c r="C55" s="60"/>
      <c r="D55" s="30"/>
      <c r="E55" s="36"/>
      <c r="F55" s="50"/>
      <c r="G55" s="5"/>
      <c r="H55" s="5"/>
      <c r="I55" s="5"/>
      <c r="J55" s="5"/>
      <c r="K55" s="5"/>
      <c r="L55" s="5"/>
      <c r="M55" s="73"/>
      <c r="N55" s="27"/>
      <c r="O55" s="27"/>
      <c r="P55" s="77"/>
      <c r="Q55" s="77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6"/>
      <c r="C56" s="6"/>
      <c r="D56" s="31"/>
      <c r="E56" s="37"/>
      <c r="F56" s="52"/>
      <c r="G56" s="5"/>
      <c r="H56" s="5"/>
      <c r="I56" s="5"/>
      <c r="J56" s="5"/>
      <c r="K56" s="5"/>
      <c r="L56" s="5"/>
      <c r="M56" s="73"/>
      <c r="N56" s="27"/>
      <c r="O56" s="27"/>
      <c r="P56" s="77"/>
      <c r="Q56" s="77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60"/>
      <c r="C57" s="60"/>
      <c r="D57" s="30"/>
      <c r="E57" s="36"/>
      <c r="F57" s="50"/>
      <c r="G57" s="5"/>
      <c r="H57" s="5"/>
      <c r="I57" s="5"/>
      <c r="J57" s="5"/>
      <c r="K57" s="5"/>
      <c r="L57" s="5"/>
      <c r="M57" s="73"/>
      <c r="N57" s="27"/>
      <c r="O57" s="27"/>
      <c r="P57" s="77"/>
      <c r="Q57" s="77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6"/>
      <c r="C58" s="6"/>
      <c r="D58" s="31"/>
      <c r="E58" s="37"/>
      <c r="F58" s="52"/>
      <c r="G58" s="5"/>
      <c r="H58" s="5"/>
      <c r="I58" s="5"/>
      <c r="J58" s="5"/>
      <c r="K58" s="5"/>
      <c r="L58" s="5"/>
      <c r="M58" s="73"/>
      <c r="N58" s="27"/>
      <c r="O58" s="27"/>
      <c r="P58" s="77"/>
      <c r="Q58" s="77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5">
      <c r="A59" s="30"/>
      <c r="B59" s="60"/>
      <c r="C59" s="60"/>
      <c r="D59" s="30"/>
      <c r="E59" s="36"/>
      <c r="F59" s="50"/>
      <c r="G59" s="5"/>
      <c r="H59" s="5"/>
      <c r="I59" s="5"/>
      <c r="J59" s="5"/>
      <c r="K59" s="5"/>
      <c r="L59" s="5"/>
      <c r="M59" s="73"/>
      <c r="N59" s="27"/>
      <c r="O59" s="27"/>
      <c r="P59" s="77"/>
      <c r="Q59" s="77"/>
      <c r="R59" s="6"/>
      <c r="S59" s="5"/>
      <c r="T59" s="5"/>
      <c r="U59" s="5"/>
      <c r="V59" s="5"/>
      <c r="W59" s="5"/>
      <c r="X59" s="5"/>
      <c r="Y59" s="5"/>
      <c r="Z59" s="5"/>
    </row>
    <row r="60" spans="1:26" x14ac:dyDescent="0.25">
      <c r="A60" s="31"/>
      <c r="B60" s="6"/>
      <c r="C60" s="6"/>
      <c r="D60" s="31"/>
      <c r="E60" s="37"/>
      <c r="F60" s="52"/>
      <c r="G60" s="5"/>
      <c r="H60" s="5"/>
      <c r="I60" s="5"/>
      <c r="J60" s="5"/>
      <c r="K60" s="5"/>
      <c r="L60" s="5"/>
      <c r="M60" s="73"/>
      <c r="N60" s="27"/>
      <c r="O60" s="27"/>
      <c r="P60" s="77"/>
      <c r="Q60" s="77"/>
      <c r="R60" s="6"/>
      <c r="S60" s="5"/>
      <c r="T60" s="5"/>
      <c r="U60" s="5"/>
      <c r="V60" s="5"/>
      <c r="W60" s="5"/>
      <c r="X60" s="5"/>
      <c r="Y60" s="5"/>
      <c r="Z60" s="5"/>
    </row>
    <row r="61" spans="1:26" x14ac:dyDescent="0.25">
      <c r="A61" s="30"/>
      <c r="B61" s="60"/>
      <c r="C61" s="60"/>
      <c r="D61" s="30"/>
      <c r="E61" s="36"/>
      <c r="F61" s="50"/>
      <c r="G61" s="5"/>
      <c r="H61" s="5"/>
      <c r="I61" s="5"/>
      <c r="J61" s="5"/>
      <c r="K61" s="5"/>
      <c r="L61" s="5"/>
      <c r="M61" s="73"/>
      <c r="N61" s="27"/>
      <c r="O61" s="27"/>
      <c r="P61" s="77"/>
      <c r="Q61" s="77"/>
      <c r="R61" s="5"/>
      <c r="S61" s="5"/>
      <c r="T61" s="5"/>
      <c r="U61" s="5"/>
      <c r="V61" s="5"/>
      <c r="W61" s="5"/>
      <c r="X61" s="5"/>
      <c r="Y61" s="5"/>
      <c r="Z61" s="5"/>
    </row>
    <row r="62" spans="1:26" x14ac:dyDescent="0.25">
      <c r="A62" s="31"/>
      <c r="B62" s="6"/>
      <c r="C62" s="6"/>
      <c r="D62" s="31"/>
      <c r="E62" s="37"/>
      <c r="F62" s="52"/>
      <c r="G62" s="5"/>
      <c r="H62" s="5"/>
      <c r="I62" s="5"/>
      <c r="J62" s="5"/>
      <c r="K62" s="5"/>
      <c r="L62" s="5"/>
      <c r="M62" s="73"/>
      <c r="N62" s="27"/>
      <c r="O62" s="27"/>
      <c r="P62" s="77"/>
      <c r="Q62" s="77"/>
      <c r="R62" s="6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60"/>
      <c r="C63" s="60"/>
      <c r="D63" s="30"/>
      <c r="E63" s="36"/>
      <c r="F63" s="50"/>
      <c r="G63" s="5"/>
      <c r="H63" s="5"/>
      <c r="I63" s="5"/>
      <c r="J63" s="5"/>
      <c r="K63" s="5"/>
      <c r="L63" s="5"/>
      <c r="M63" s="73"/>
      <c r="N63" s="27"/>
      <c r="O63" s="27"/>
      <c r="P63" s="77"/>
      <c r="Q63" s="77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6"/>
      <c r="C64" s="6"/>
      <c r="D64" s="31"/>
      <c r="E64" s="37"/>
      <c r="F64" s="52"/>
      <c r="G64" s="5"/>
      <c r="H64" s="5"/>
      <c r="I64" s="5"/>
      <c r="J64" s="5"/>
      <c r="K64" s="5"/>
      <c r="L64" s="5"/>
      <c r="M64" s="73"/>
      <c r="N64" s="27"/>
      <c r="O64" s="27"/>
      <c r="P64" s="77"/>
      <c r="Q64" s="77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60"/>
      <c r="C65" s="60"/>
      <c r="D65" s="30"/>
      <c r="E65" s="36"/>
      <c r="F65" s="50"/>
      <c r="G65" s="5"/>
      <c r="H65" s="5"/>
      <c r="I65" s="5"/>
      <c r="J65" s="5"/>
      <c r="K65" s="5"/>
      <c r="L65" s="5"/>
      <c r="M65" s="73"/>
      <c r="N65" s="14"/>
      <c r="O65" s="14"/>
      <c r="P65" s="73"/>
      <c r="Q65" s="73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6"/>
      <c r="C66" s="6"/>
      <c r="D66" s="31"/>
      <c r="E66" s="37"/>
      <c r="F66" s="52"/>
      <c r="G66" s="5"/>
      <c r="H66" s="5"/>
      <c r="I66" s="5"/>
      <c r="J66" s="5"/>
      <c r="K66" s="5"/>
      <c r="L66" s="5"/>
      <c r="M66" s="73"/>
      <c r="N66" s="14"/>
      <c r="O66" s="14"/>
      <c r="P66" s="73"/>
      <c r="Q66" s="73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60"/>
      <c r="C67" s="60"/>
      <c r="D67" s="30"/>
      <c r="E67" s="36"/>
      <c r="F67" s="50"/>
      <c r="G67" s="5"/>
      <c r="H67" s="5"/>
      <c r="I67" s="5"/>
      <c r="J67" s="5"/>
      <c r="K67" s="5"/>
      <c r="L67" s="5"/>
      <c r="M67" s="73"/>
      <c r="N67" s="14"/>
      <c r="O67" s="14"/>
      <c r="P67" s="73"/>
      <c r="Q67" s="73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6"/>
      <c r="C68" s="6"/>
      <c r="D68" s="31"/>
      <c r="E68" s="37"/>
      <c r="F68" s="52"/>
      <c r="G68" s="5"/>
      <c r="H68" s="5"/>
      <c r="I68" s="5"/>
      <c r="J68" s="5"/>
      <c r="K68" s="5"/>
      <c r="L68" s="5"/>
      <c r="M68" s="73"/>
      <c r="N68" s="14"/>
      <c r="O68" s="14"/>
      <c r="P68" s="73"/>
      <c r="Q68" s="73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60"/>
      <c r="C69" s="60"/>
      <c r="D69" s="30"/>
      <c r="E69" s="36"/>
      <c r="F69" s="50"/>
      <c r="G69" s="5"/>
      <c r="H69" s="5"/>
      <c r="I69" s="5"/>
      <c r="J69" s="5"/>
      <c r="K69" s="5"/>
      <c r="L69" s="5"/>
      <c r="M69" s="73"/>
      <c r="N69" s="14"/>
      <c r="O69" s="14"/>
      <c r="P69" s="73"/>
      <c r="Q69" s="73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6"/>
      <c r="C70" s="6"/>
      <c r="D70" s="31"/>
      <c r="E70" s="37"/>
      <c r="F70" s="52"/>
      <c r="G70" s="5"/>
      <c r="H70" s="5"/>
      <c r="I70" s="5"/>
      <c r="J70" s="5"/>
      <c r="K70" s="5"/>
      <c r="L70" s="5"/>
      <c r="M70" s="73"/>
      <c r="N70" s="14"/>
      <c r="O70" s="14"/>
      <c r="P70" s="73"/>
      <c r="Q70" s="73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60"/>
      <c r="C71" s="60"/>
      <c r="D71" s="30"/>
      <c r="E71" s="36"/>
      <c r="F71" s="50"/>
      <c r="G71" s="5"/>
      <c r="H71" s="5"/>
      <c r="I71" s="5"/>
      <c r="J71" s="5"/>
      <c r="K71" s="5"/>
      <c r="L71" s="5"/>
      <c r="M71" s="73"/>
      <c r="N71" s="14"/>
      <c r="O71" s="14"/>
      <c r="P71" s="73"/>
      <c r="Q71" s="73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6"/>
      <c r="C72" s="6"/>
      <c r="D72" s="31"/>
      <c r="E72" s="37"/>
      <c r="F72" s="52"/>
      <c r="G72" s="5"/>
      <c r="H72" s="5"/>
      <c r="I72" s="5"/>
      <c r="J72" s="5"/>
      <c r="K72" s="5"/>
      <c r="L72" s="5"/>
      <c r="M72" s="73"/>
      <c r="N72" s="14"/>
      <c r="O72" s="14"/>
      <c r="P72" s="73"/>
      <c r="Q72" s="73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60"/>
      <c r="C73" s="60"/>
      <c r="D73" s="30"/>
      <c r="E73" s="36"/>
      <c r="F73" s="50"/>
      <c r="G73" s="5"/>
      <c r="H73" s="5"/>
      <c r="I73" s="5"/>
      <c r="J73" s="5"/>
      <c r="K73" s="5"/>
      <c r="L73" s="5"/>
      <c r="M73" s="73"/>
      <c r="N73" s="14"/>
      <c r="O73" s="14"/>
      <c r="P73" s="73"/>
      <c r="Q73" s="73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6"/>
      <c r="C74" s="6"/>
      <c r="D74" s="31"/>
      <c r="E74" s="37"/>
      <c r="F74" s="52"/>
      <c r="G74" s="5"/>
      <c r="H74" s="5"/>
      <c r="I74" s="5"/>
      <c r="J74" s="5"/>
      <c r="K74" s="5"/>
      <c r="L74" s="5"/>
      <c r="M74" s="73"/>
      <c r="N74" s="14"/>
      <c r="O74" s="14"/>
      <c r="P74" s="73"/>
      <c r="Q74" s="73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60"/>
      <c r="C75" s="60"/>
      <c r="D75" s="30"/>
      <c r="E75" s="36"/>
      <c r="F75" s="50"/>
      <c r="G75" s="5"/>
      <c r="H75" s="5"/>
      <c r="I75" s="5"/>
      <c r="J75" s="5"/>
      <c r="K75" s="5"/>
      <c r="L75" s="5"/>
      <c r="M75" s="73"/>
      <c r="N75" s="14"/>
      <c r="O75" s="14"/>
      <c r="P75" s="73"/>
      <c r="Q75" s="73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6"/>
      <c r="C76" s="6"/>
      <c r="D76" s="31"/>
      <c r="E76" s="37"/>
      <c r="F76" s="52"/>
      <c r="G76" s="5"/>
      <c r="H76" s="5"/>
      <c r="I76" s="5"/>
      <c r="J76" s="5"/>
      <c r="K76" s="5"/>
      <c r="L76" s="5"/>
      <c r="M76" s="73"/>
      <c r="N76" s="14"/>
      <c r="O76" s="14"/>
      <c r="P76" s="73"/>
      <c r="Q76" s="73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60"/>
      <c r="C77" s="60"/>
      <c r="D77" s="30"/>
      <c r="E77" s="36"/>
      <c r="F77" s="50"/>
      <c r="G77" s="5"/>
      <c r="H77" s="5"/>
      <c r="I77" s="5"/>
      <c r="J77" s="5"/>
      <c r="K77" s="5"/>
      <c r="L77" s="5"/>
      <c r="M77" s="73"/>
      <c r="N77" s="14"/>
      <c r="O77" s="14"/>
      <c r="P77" s="73"/>
      <c r="Q77" s="73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73"/>
      <c r="N78" s="14"/>
      <c r="O78" s="14"/>
      <c r="P78" s="73"/>
      <c r="Q78" s="73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73"/>
      <c r="N79" s="14"/>
      <c r="O79" s="14"/>
      <c r="P79" s="73"/>
      <c r="Q79" s="73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73"/>
      <c r="N80" s="14"/>
      <c r="O80" s="14"/>
      <c r="P80" s="73"/>
      <c r="Q80" s="73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60"/>
      <c r="C81" s="60"/>
      <c r="D81" s="30"/>
      <c r="E81" s="36"/>
      <c r="F81" s="50"/>
      <c r="G81" s="5"/>
      <c r="H81" s="5"/>
      <c r="I81" s="5"/>
      <c r="J81" s="5"/>
      <c r="K81" s="5"/>
      <c r="L81" s="5"/>
      <c r="M81" s="73"/>
      <c r="N81" s="14"/>
      <c r="O81" s="14"/>
      <c r="P81" s="73"/>
      <c r="Q81" s="73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6"/>
      <c r="C82" s="6"/>
      <c r="D82" s="31"/>
      <c r="E82" s="37"/>
      <c r="F82" s="52"/>
      <c r="G82" s="5"/>
      <c r="H82" s="5"/>
      <c r="I82" s="5"/>
      <c r="J82" s="5"/>
      <c r="K82" s="5"/>
      <c r="L82" s="5"/>
      <c r="M82" s="73"/>
      <c r="N82" s="14"/>
      <c r="O82" s="14"/>
      <c r="P82" s="73"/>
      <c r="Q82" s="73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60"/>
      <c r="C83" s="60"/>
      <c r="D83" s="30"/>
      <c r="E83" s="36"/>
      <c r="F83" s="50"/>
      <c r="G83" s="5"/>
      <c r="H83" s="5"/>
      <c r="I83" s="5"/>
      <c r="J83" s="5"/>
      <c r="K83" s="5"/>
      <c r="L83" s="5"/>
      <c r="M83" s="73"/>
      <c r="N83" s="14"/>
      <c r="O83" s="14"/>
      <c r="P83" s="73"/>
      <c r="Q83" s="73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3"/>
      <c r="N84" s="14"/>
      <c r="O84" s="14"/>
      <c r="P84" s="73"/>
      <c r="Q84" s="73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3"/>
      <c r="N85" s="14"/>
      <c r="O85" s="14"/>
      <c r="P85" s="73"/>
      <c r="Q85" s="73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3"/>
      <c r="N86" s="14"/>
      <c r="O86" s="14"/>
      <c r="P86" s="73"/>
      <c r="Q86" s="73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3"/>
      <c r="N87" s="14"/>
      <c r="O87" s="14"/>
      <c r="P87" s="73"/>
      <c r="Q87" s="73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3"/>
      <c r="N88" s="14"/>
      <c r="O88" s="14"/>
      <c r="P88" s="73"/>
      <c r="Q88" s="73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3"/>
      <c r="N89" s="14"/>
      <c r="O89" s="14"/>
      <c r="P89" s="73"/>
      <c r="Q89" s="73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3"/>
      <c r="N90" s="14"/>
      <c r="O90" s="14"/>
      <c r="P90" s="73"/>
      <c r="Q90" s="73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3"/>
      <c r="N91" s="14"/>
      <c r="O91" s="14"/>
      <c r="P91" s="73"/>
      <c r="Q91" s="73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3"/>
      <c r="N92" s="14"/>
      <c r="O92" s="14"/>
      <c r="P92" s="73"/>
      <c r="Q92" s="73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3"/>
      <c r="N93" s="14"/>
      <c r="O93" s="14"/>
      <c r="P93" s="73"/>
      <c r="Q93" s="73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3"/>
      <c r="N94" s="14"/>
      <c r="O94" s="14"/>
      <c r="P94" s="73"/>
      <c r="Q94" s="73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3"/>
      <c r="N95" s="14"/>
      <c r="O95" s="14"/>
      <c r="P95" s="73"/>
      <c r="Q95" s="73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3"/>
      <c r="N96" s="14"/>
      <c r="O96" s="14"/>
      <c r="P96" s="73"/>
      <c r="Q96" s="73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3"/>
      <c r="N97" s="14"/>
      <c r="O97" s="14"/>
      <c r="P97" s="73"/>
      <c r="Q97" s="73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3"/>
      <c r="N98" s="14"/>
      <c r="O98" s="14"/>
      <c r="P98" s="73"/>
      <c r="Q98" s="73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3"/>
      <c r="N99" s="14"/>
      <c r="O99" s="14"/>
      <c r="P99" s="73"/>
      <c r="Q99" s="73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3"/>
      <c r="N100" s="14"/>
      <c r="O100" s="14"/>
      <c r="P100" s="73"/>
      <c r="Q100" s="73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60"/>
      <c r="C107" s="60"/>
      <c r="D107" s="30"/>
      <c r="E107" s="36"/>
      <c r="F107" s="50"/>
    </row>
    <row r="108" spans="1:26" x14ac:dyDescent="0.25">
      <c r="A108" s="31"/>
      <c r="B108" s="6"/>
      <c r="C108" s="6"/>
      <c r="D108" s="31"/>
      <c r="E108" s="37"/>
      <c r="F108" s="52"/>
    </row>
    <row r="109" spans="1:26" x14ac:dyDescent="0.25">
      <c r="A109" s="30"/>
      <c r="B109" s="60"/>
      <c r="C109" s="60"/>
      <c r="D109" s="30"/>
      <c r="E109" s="36"/>
      <c r="F109" s="50"/>
    </row>
    <row r="110" spans="1:26" x14ac:dyDescent="0.25">
      <c r="A110" s="31"/>
      <c r="B110" s="6"/>
      <c r="C110" s="6"/>
      <c r="D110" s="31"/>
      <c r="E110" s="37"/>
      <c r="F110" s="52"/>
    </row>
    <row r="111" spans="1:26" x14ac:dyDescent="0.25">
      <c r="A111" s="30"/>
      <c r="B111" s="60"/>
      <c r="C111" s="60"/>
      <c r="D111" s="30"/>
      <c r="E111" s="36"/>
      <c r="F111" s="50"/>
    </row>
    <row r="112" spans="1:26" x14ac:dyDescent="0.25">
      <c r="A112" s="31"/>
      <c r="B112" s="6"/>
      <c r="C112" s="6"/>
      <c r="D112" s="31"/>
      <c r="E112" s="37"/>
      <c r="F112" s="52"/>
    </row>
    <row r="113" spans="1:6" x14ac:dyDescent="0.25">
      <c r="A113" s="30"/>
      <c r="B113" s="60"/>
      <c r="C113" s="60"/>
      <c r="D113" s="30"/>
      <c r="E113" s="36"/>
      <c r="F113" s="50"/>
    </row>
    <row r="114" spans="1:6" x14ac:dyDescent="0.25">
      <c r="A114" s="31"/>
      <c r="B114" s="6"/>
      <c r="C114" s="6"/>
      <c r="D114" s="31"/>
      <c r="E114" s="37"/>
      <c r="F114" s="52"/>
    </row>
    <row r="115" spans="1:6" x14ac:dyDescent="0.25">
      <c r="A115" s="30"/>
      <c r="B115" s="60"/>
      <c r="C115" s="60"/>
      <c r="D115" s="30"/>
      <c r="E115" s="36"/>
      <c r="F115" s="50"/>
    </row>
    <row r="116" spans="1:6" x14ac:dyDescent="0.25">
      <c r="A116" s="31"/>
      <c r="B116" s="6"/>
      <c r="C116" s="6"/>
      <c r="D116" s="31"/>
      <c r="E116" s="37"/>
      <c r="F116" s="52"/>
    </row>
    <row r="117" spans="1:6" x14ac:dyDescent="0.25">
      <c r="A117" s="30"/>
      <c r="B117" s="60"/>
      <c r="C117" s="60"/>
      <c r="D117" s="30"/>
      <c r="E117" s="36"/>
      <c r="F117" s="50"/>
    </row>
    <row r="118" spans="1:6" x14ac:dyDescent="0.25">
      <c r="A118" s="31"/>
      <c r="B118" s="6"/>
      <c r="C118" s="6"/>
      <c r="D118" s="31"/>
      <c r="E118" s="37"/>
      <c r="F118" s="52"/>
    </row>
    <row r="119" spans="1:6" x14ac:dyDescent="0.25">
      <c r="A119" s="30"/>
      <c r="B119" s="60"/>
      <c r="C119" s="60"/>
      <c r="D119" s="30"/>
      <c r="E119" s="36"/>
      <c r="F119" s="50"/>
    </row>
    <row r="120" spans="1:6" x14ac:dyDescent="0.25">
      <c r="A120" s="31"/>
      <c r="B120" s="6"/>
      <c r="C120" s="6"/>
      <c r="D120" s="31"/>
      <c r="E120" s="37"/>
      <c r="F120" s="52"/>
    </row>
    <row r="121" spans="1:6" x14ac:dyDescent="0.25">
      <c r="A121" s="30"/>
      <c r="B121" s="60"/>
      <c r="C121" s="60"/>
      <c r="D121" s="30"/>
      <c r="E121" s="36"/>
      <c r="F121" s="50"/>
    </row>
    <row r="122" spans="1:6" x14ac:dyDescent="0.25">
      <c r="A122" s="31"/>
      <c r="B122" s="6"/>
      <c r="C122" s="6"/>
      <c r="D122" s="31"/>
      <c r="E122" s="37"/>
      <c r="F122" s="52"/>
    </row>
    <row r="123" spans="1:6" x14ac:dyDescent="0.25">
      <c r="A123" s="30"/>
      <c r="B123" s="60"/>
      <c r="C123" s="60"/>
      <c r="D123" s="30"/>
      <c r="E123" s="36"/>
      <c r="F123" s="50"/>
    </row>
    <row r="124" spans="1:6" x14ac:dyDescent="0.25">
      <c r="A124" s="31"/>
      <c r="B124" s="6"/>
      <c r="C124" s="6"/>
      <c r="D124" s="31"/>
      <c r="E124" s="37"/>
      <c r="F124" s="52"/>
    </row>
    <row r="125" spans="1:6" x14ac:dyDescent="0.25">
      <c r="A125" s="30"/>
      <c r="B125" s="60"/>
      <c r="C125" s="60"/>
      <c r="D125" s="30"/>
      <c r="E125" s="36"/>
      <c r="F125" s="50"/>
    </row>
    <row r="126" spans="1:6" x14ac:dyDescent="0.25">
      <c r="A126" s="31"/>
      <c r="B126" s="6"/>
      <c r="C126" s="6"/>
      <c r="D126" s="31"/>
      <c r="E126" s="37"/>
      <c r="F126" s="52"/>
    </row>
    <row r="127" spans="1:6" x14ac:dyDescent="0.25">
      <c r="A127" s="30"/>
      <c r="B127" s="60"/>
      <c r="C127" s="60"/>
      <c r="D127" s="30"/>
      <c r="E127" s="36"/>
      <c r="F127" s="50"/>
    </row>
    <row r="128" spans="1:6" x14ac:dyDescent="0.25">
      <c r="A128" s="31"/>
      <c r="B128" s="6"/>
      <c r="C128" s="6"/>
      <c r="D128" s="31"/>
      <c r="E128" s="37"/>
      <c r="F128" s="52"/>
    </row>
    <row r="129" spans="1:6" x14ac:dyDescent="0.25">
      <c r="A129" s="30"/>
      <c r="B129" s="60"/>
      <c r="C129" s="60"/>
      <c r="D129" s="30"/>
      <c r="E129" s="36"/>
      <c r="F129" s="50"/>
    </row>
    <row r="130" spans="1:6" x14ac:dyDescent="0.25">
      <c r="A130" s="31"/>
      <c r="B130" s="6"/>
      <c r="C130" s="6"/>
      <c r="D130" s="31"/>
      <c r="E130" s="37"/>
      <c r="F130" s="52"/>
    </row>
    <row r="131" spans="1:6" x14ac:dyDescent="0.25">
      <c r="A131" s="30"/>
      <c r="B131" s="60"/>
      <c r="C131" s="60"/>
      <c r="D131" s="30"/>
      <c r="E131" s="36"/>
      <c r="F131" s="50"/>
    </row>
    <row r="132" spans="1:6" x14ac:dyDescent="0.25">
      <c r="A132" s="31"/>
      <c r="B132" s="6"/>
      <c r="C132" s="6"/>
      <c r="D132" s="31"/>
      <c r="E132" s="37"/>
      <c r="F132" s="52"/>
    </row>
    <row r="133" spans="1:6" x14ac:dyDescent="0.25">
      <c r="A133" s="30"/>
      <c r="B133" s="60"/>
      <c r="C133" s="60"/>
      <c r="D133" s="30"/>
      <c r="E133" s="36"/>
      <c r="F133" s="50"/>
    </row>
    <row r="134" spans="1:6" x14ac:dyDescent="0.25">
      <c r="A134" s="31"/>
      <c r="B134" s="6"/>
      <c r="C134" s="6"/>
      <c r="D134" s="31"/>
      <c r="E134" s="37"/>
      <c r="F134" s="52"/>
    </row>
    <row r="135" spans="1:6" x14ac:dyDescent="0.25">
      <c r="A135" s="30"/>
      <c r="B135" s="60"/>
      <c r="C135" s="60"/>
      <c r="D135" s="30"/>
      <c r="E135" s="36"/>
      <c r="F135" s="50"/>
    </row>
    <row r="136" spans="1:6" x14ac:dyDescent="0.25">
      <c r="A136" s="31"/>
      <c r="B136" s="6"/>
      <c r="C136" s="6"/>
      <c r="D136" s="31"/>
      <c r="E136" s="37"/>
      <c r="F136" s="52"/>
    </row>
    <row r="137" spans="1:6" x14ac:dyDescent="0.25">
      <c r="A137" s="30"/>
      <c r="B137" s="60"/>
      <c r="C137" s="60"/>
      <c r="D137" s="30"/>
      <c r="E137" s="36"/>
      <c r="F137" s="50"/>
    </row>
    <row r="138" spans="1:6" x14ac:dyDescent="0.25">
      <c r="A138" s="31"/>
      <c r="B138" s="6"/>
      <c r="C138" s="6"/>
      <c r="D138" s="31"/>
      <c r="E138" s="37"/>
      <c r="F138" s="52"/>
    </row>
    <row r="139" spans="1:6" x14ac:dyDescent="0.25">
      <c r="A139" s="30"/>
      <c r="B139" s="60"/>
      <c r="C139" s="60"/>
      <c r="D139" s="30"/>
      <c r="E139" s="36"/>
      <c r="F139" s="50"/>
    </row>
    <row r="140" spans="1:6" x14ac:dyDescent="0.25">
      <c r="A140" s="31"/>
      <c r="B140" s="6"/>
      <c r="C140" s="6"/>
      <c r="D140" s="31"/>
      <c r="E140" s="37"/>
      <c r="F140" s="52"/>
    </row>
    <row r="141" spans="1:6" x14ac:dyDescent="0.25">
      <c r="A141" s="30"/>
      <c r="B141" s="60"/>
      <c r="C141" s="60"/>
      <c r="D141" s="30"/>
      <c r="E141" s="36"/>
      <c r="F141" s="50"/>
    </row>
    <row r="142" spans="1:6" x14ac:dyDescent="0.25">
      <c r="A142" s="31"/>
      <c r="B142" s="6"/>
      <c r="C142" s="6"/>
      <c r="D142" s="31"/>
      <c r="E142" s="37"/>
      <c r="F142" s="52"/>
    </row>
    <row r="143" spans="1:6" x14ac:dyDescent="0.25">
      <c r="A143" s="30"/>
      <c r="B143" s="60"/>
      <c r="C143" s="60"/>
      <c r="D143" s="30"/>
      <c r="E143" s="36"/>
      <c r="F143" s="50"/>
    </row>
    <row r="144" spans="1:6" x14ac:dyDescent="0.25">
      <c r="A144" s="31"/>
      <c r="B144" s="6"/>
      <c r="C144" s="6"/>
      <c r="D144" s="31"/>
      <c r="E144" s="37"/>
      <c r="F144" s="52"/>
    </row>
    <row r="145" spans="1:6" x14ac:dyDescent="0.25">
      <c r="A145" s="30"/>
      <c r="B145" s="60"/>
      <c r="C145" s="60"/>
      <c r="D145" s="30"/>
      <c r="E145" s="36"/>
      <c r="F145" s="50"/>
    </row>
    <row r="146" spans="1:6" x14ac:dyDescent="0.25">
      <c r="A146" s="31"/>
      <c r="B146" s="6"/>
      <c r="C146" s="6"/>
      <c r="D146" s="31"/>
      <c r="E146" s="37"/>
      <c r="F146" s="52"/>
    </row>
    <row r="147" spans="1:6" x14ac:dyDescent="0.25">
      <c r="A147" s="30"/>
      <c r="B147" s="60"/>
      <c r="C147" s="60"/>
      <c r="D147" s="30"/>
      <c r="E147" s="36"/>
      <c r="F147" s="50"/>
    </row>
    <row r="148" spans="1:6" x14ac:dyDescent="0.25">
      <c r="A148" s="31"/>
      <c r="B148" s="6"/>
      <c r="C148" s="6"/>
      <c r="D148" s="31"/>
      <c r="E148" s="37"/>
      <c r="F148" s="52"/>
    </row>
    <row r="149" spans="1:6" x14ac:dyDescent="0.25">
      <c r="A149" s="30"/>
      <c r="B149" s="60"/>
      <c r="C149" s="60"/>
      <c r="D149" s="30"/>
      <c r="E149" s="36"/>
      <c r="F149" s="50"/>
    </row>
    <row r="150" spans="1:6" x14ac:dyDescent="0.25">
      <c r="A150" s="31"/>
      <c r="B150" s="6"/>
      <c r="C150" s="6"/>
      <c r="D150" s="31"/>
      <c r="E150" s="37"/>
      <c r="F150" s="52"/>
    </row>
    <row r="151" spans="1:6" x14ac:dyDescent="0.25">
      <c r="A151" s="30"/>
      <c r="B151" s="60"/>
      <c r="C151" s="60"/>
      <c r="D151" s="30"/>
      <c r="E151" s="36"/>
      <c r="F151" s="50"/>
    </row>
    <row r="152" spans="1:6" x14ac:dyDescent="0.25">
      <c r="A152" s="31"/>
      <c r="B152" s="6"/>
      <c r="C152" s="6"/>
      <c r="D152" s="31"/>
      <c r="E152" s="37"/>
      <c r="F152" s="52"/>
    </row>
    <row r="153" spans="1:6" x14ac:dyDescent="0.25">
      <c r="A153" s="30"/>
      <c r="B153" s="60"/>
      <c r="C153" s="60"/>
      <c r="D153" s="30"/>
      <c r="E153" s="36"/>
      <c r="F153" s="50"/>
    </row>
    <row r="154" spans="1:6" x14ac:dyDescent="0.25">
      <c r="A154" s="31"/>
      <c r="B154" s="6"/>
      <c r="C154" s="6"/>
      <c r="D154" s="31"/>
      <c r="E154" s="37"/>
      <c r="F154" s="52"/>
    </row>
    <row r="155" spans="1:6" x14ac:dyDescent="0.25">
      <c r="A155" s="30"/>
      <c r="B155" s="60"/>
      <c r="C155" s="60"/>
      <c r="D155" s="30"/>
      <c r="E155" s="36"/>
      <c r="F155" s="50"/>
    </row>
    <row r="156" spans="1:6" x14ac:dyDescent="0.25">
      <c r="A156" s="31"/>
      <c r="B156" s="6"/>
      <c r="C156" s="6"/>
      <c r="D156" s="31"/>
      <c r="E156" s="37"/>
      <c r="F156" s="52"/>
    </row>
    <row r="157" spans="1:6" x14ac:dyDescent="0.25">
      <c r="A157" s="30"/>
      <c r="B157" s="60"/>
      <c r="C157" s="60"/>
      <c r="D157" s="30"/>
      <c r="E157" s="36"/>
      <c r="F157" s="50"/>
    </row>
    <row r="158" spans="1:6" x14ac:dyDescent="0.25">
      <c r="A158" s="31"/>
      <c r="B158" s="6"/>
      <c r="C158" s="6"/>
      <c r="D158" s="31"/>
      <c r="E158" s="37"/>
      <c r="F158" s="52"/>
    </row>
    <row r="159" spans="1:6" x14ac:dyDescent="0.25">
      <c r="A159" s="30"/>
      <c r="B159" s="60"/>
      <c r="C159" s="60"/>
      <c r="D159" s="30"/>
      <c r="E159" s="36"/>
      <c r="F159" s="50"/>
    </row>
    <row r="160" spans="1:6" x14ac:dyDescent="0.25">
      <c r="A160" s="31"/>
      <c r="B160" s="6"/>
      <c r="C160" s="6"/>
      <c r="D160" s="31"/>
      <c r="E160" s="37"/>
      <c r="F160" s="52"/>
    </row>
    <row r="161" spans="1:6" x14ac:dyDescent="0.25">
      <c r="A161" s="30"/>
      <c r="B161" s="60"/>
      <c r="C161" s="60"/>
      <c r="D161" s="30"/>
      <c r="E161" s="36"/>
      <c r="F161" s="50"/>
    </row>
    <row r="162" spans="1:6" x14ac:dyDescent="0.25">
      <c r="A162" s="31"/>
      <c r="B162" s="6"/>
      <c r="C162" s="6"/>
      <c r="D162" s="31"/>
      <c r="E162" s="37"/>
      <c r="F162" s="52"/>
    </row>
    <row r="163" spans="1:6" x14ac:dyDescent="0.25">
      <c r="A163" s="30"/>
      <c r="B163" s="60"/>
      <c r="C163" s="60"/>
      <c r="D163" s="30"/>
      <c r="E163" s="36"/>
      <c r="F163" s="50"/>
    </row>
    <row r="164" spans="1:6" x14ac:dyDescent="0.25">
      <c r="A164" s="31"/>
      <c r="B164" s="6"/>
      <c r="C164" s="6"/>
      <c r="D164" s="31"/>
      <c r="E164" s="37"/>
      <c r="F164" s="52"/>
    </row>
    <row r="165" spans="1:6" x14ac:dyDescent="0.25">
      <c r="A165" s="30"/>
      <c r="B165" s="60"/>
      <c r="C165" s="60"/>
      <c r="D165" s="30"/>
      <c r="E165" s="36"/>
      <c r="F165" s="50"/>
    </row>
    <row r="166" spans="1:6" x14ac:dyDescent="0.25">
      <c r="A166" s="30"/>
      <c r="B166" s="60"/>
      <c r="C166" s="60"/>
      <c r="D166" s="30"/>
      <c r="E166" s="36"/>
      <c r="F166" s="50"/>
    </row>
    <row r="167" spans="1:6" x14ac:dyDescent="0.25">
      <c r="A167" s="31"/>
      <c r="B167" s="6"/>
      <c r="C167" s="6"/>
      <c r="D167" s="31"/>
      <c r="E167" s="37"/>
      <c r="F167" s="52"/>
    </row>
    <row r="168" spans="1:6" x14ac:dyDescent="0.25">
      <c r="A168" s="30"/>
      <c r="B168" s="60"/>
      <c r="C168" s="60"/>
      <c r="D168" s="30"/>
      <c r="E168" s="36"/>
      <c r="F168" s="50"/>
    </row>
    <row r="169" spans="1:6" x14ac:dyDescent="0.25">
      <c r="A169" s="31"/>
      <c r="B169" s="6"/>
      <c r="C169" s="6"/>
      <c r="D169" s="31"/>
      <c r="E169" s="37"/>
      <c r="F169" s="52"/>
    </row>
    <row r="170" spans="1:6" x14ac:dyDescent="0.25">
      <c r="A170" s="30"/>
      <c r="B170" s="60"/>
      <c r="C170" s="60"/>
      <c r="D170" s="30"/>
      <c r="E170" s="36"/>
      <c r="F170" s="50"/>
    </row>
    <row r="171" spans="1:6" x14ac:dyDescent="0.25">
      <c r="A171" s="31"/>
      <c r="B171" s="6"/>
      <c r="C171" s="6"/>
      <c r="D171" s="31"/>
      <c r="E171" s="37"/>
      <c r="F171" s="52"/>
    </row>
    <row r="172" spans="1:6" x14ac:dyDescent="0.25">
      <c r="A172" s="30"/>
      <c r="B172" s="60"/>
      <c r="C172" s="60"/>
      <c r="D172" s="30"/>
      <c r="E172" s="36"/>
      <c r="F172" s="50"/>
    </row>
    <row r="173" spans="1:6" x14ac:dyDescent="0.25">
      <c r="A173" s="31"/>
      <c r="B173" s="6"/>
      <c r="C173" s="6"/>
      <c r="D173" s="31"/>
      <c r="E173" s="37"/>
      <c r="F173" s="52"/>
    </row>
    <row r="174" spans="1:6" x14ac:dyDescent="0.25">
      <c r="A174" s="30"/>
      <c r="B174" s="60"/>
      <c r="C174" s="60"/>
      <c r="D174" s="30"/>
      <c r="E174" s="36"/>
      <c r="F174" s="50"/>
    </row>
    <row r="175" spans="1:6" x14ac:dyDescent="0.25">
      <c r="A175" s="31"/>
      <c r="B175" s="6"/>
      <c r="C175" s="6"/>
      <c r="D175" s="31"/>
      <c r="E175" s="37"/>
      <c r="F175" s="52"/>
    </row>
    <row r="176" spans="1:6" x14ac:dyDescent="0.25">
      <c r="A176" s="30"/>
      <c r="B176" s="60"/>
      <c r="C176" s="60"/>
      <c r="D176" s="30"/>
      <c r="E176" s="36"/>
      <c r="F176" s="50"/>
    </row>
    <row r="177" spans="1:6" x14ac:dyDescent="0.25">
      <c r="A177" s="31"/>
      <c r="B177" s="6"/>
      <c r="C177" s="6"/>
      <c r="D177" s="31"/>
      <c r="E177" s="37"/>
      <c r="F177" s="52"/>
    </row>
    <row r="178" spans="1:6" x14ac:dyDescent="0.25">
      <c r="A178" s="30"/>
      <c r="B178" s="60"/>
      <c r="C178" s="60"/>
      <c r="D178" s="30"/>
      <c r="E178" s="36"/>
      <c r="F178" s="50"/>
    </row>
    <row r="179" spans="1:6" x14ac:dyDescent="0.25">
      <c r="A179" s="31"/>
      <c r="B179" s="6"/>
      <c r="C179" s="6"/>
      <c r="D179" s="31"/>
      <c r="E179" s="37"/>
      <c r="F179" s="52"/>
    </row>
    <row r="180" spans="1:6" x14ac:dyDescent="0.25">
      <c r="A180" s="30"/>
      <c r="B180" s="60"/>
      <c r="C180" s="60"/>
      <c r="D180" s="30"/>
      <c r="E180" s="36"/>
      <c r="F180" s="50"/>
    </row>
    <row r="181" spans="1:6" x14ac:dyDescent="0.25">
      <c r="A181" s="31"/>
      <c r="B181" s="6"/>
      <c r="C181" s="6"/>
      <c r="D181" s="31"/>
      <c r="E181" s="37"/>
      <c r="F181" s="52"/>
    </row>
    <row r="182" spans="1:6" x14ac:dyDescent="0.25">
      <c r="A182" s="30"/>
      <c r="B182" s="60"/>
      <c r="C182" s="60"/>
      <c r="D182" s="30"/>
      <c r="E182" s="36"/>
      <c r="F182" s="50"/>
    </row>
    <row r="183" spans="1:6" x14ac:dyDescent="0.25">
      <c r="A183" s="31"/>
      <c r="B183" s="6"/>
      <c r="C183" s="6"/>
      <c r="D183" s="31"/>
      <c r="E183" s="37"/>
      <c r="F183" s="52"/>
    </row>
    <row r="184" spans="1:6" x14ac:dyDescent="0.25">
      <c r="A184" s="30"/>
      <c r="B184" s="60"/>
      <c r="C184" s="60"/>
      <c r="D184" s="30"/>
      <c r="E184" s="36"/>
      <c r="F184" s="50"/>
    </row>
    <row r="185" spans="1:6" x14ac:dyDescent="0.25">
      <c r="A185" s="31"/>
      <c r="B185" s="6"/>
      <c r="C185" s="6"/>
      <c r="D185" s="31"/>
      <c r="E185" s="37"/>
      <c r="F185" s="52"/>
    </row>
    <row r="186" spans="1:6" x14ac:dyDescent="0.25">
      <c r="A186" s="30"/>
      <c r="B186" s="60"/>
      <c r="C186" s="60"/>
      <c r="D186" s="30"/>
      <c r="E186" s="36"/>
      <c r="F186" s="50"/>
    </row>
    <row r="187" spans="1:6" x14ac:dyDescent="0.25">
      <c r="A187" s="31"/>
      <c r="B187" s="6"/>
      <c r="C187" s="6"/>
      <c r="D187" s="31"/>
      <c r="E187" s="37"/>
      <c r="F187" s="52"/>
    </row>
    <row r="188" spans="1:6" x14ac:dyDescent="0.25">
      <c r="A188" s="30"/>
      <c r="B188" s="60"/>
      <c r="C188" s="60"/>
      <c r="D188" s="30"/>
      <c r="E188" s="36"/>
      <c r="F188" s="50"/>
    </row>
    <row r="189" spans="1:6" x14ac:dyDescent="0.25">
      <c r="A189" s="31"/>
      <c r="B189" s="6"/>
      <c r="C189" s="6"/>
      <c r="D189" s="31"/>
      <c r="E189" s="37"/>
      <c r="F189" s="52"/>
    </row>
    <row r="190" spans="1:6" x14ac:dyDescent="0.25">
      <c r="A190" s="30"/>
      <c r="B190" s="60"/>
      <c r="C190" s="60"/>
      <c r="D190" s="30"/>
      <c r="E190" s="36"/>
      <c r="F190" s="50"/>
    </row>
    <row r="191" spans="1:6" x14ac:dyDescent="0.25">
      <c r="A191" s="31"/>
      <c r="B191" s="6"/>
      <c r="C191" s="6"/>
      <c r="D191" s="31"/>
      <c r="E191" s="37"/>
      <c r="F191" s="52"/>
    </row>
    <row r="192" spans="1:6" x14ac:dyDescent="0.25">
      <c r="A192" s="30"/>
      <c r="B192" s="60"/>
      <c r="C192" s="60"/>
      <c r="D192" s="30"/>
      <c r="E192" s="36"/>
      <c r="F192" s="50"/>
    </row>
    <row r="193" spans="1:6" x14ac:dyDescent="0.25">
      <c r="A193" s="31"/>
      <c r="B193" s="6"/>
      <c r="C193" s="6"/>
      <c r="D193" s="31"/>
      <c r="E193" s="37"/>
      <c r="F193" s="52"/>
    </row>
    <row r="194" spans="1:6" x14ac:dyDescent="0.25">
      <c r="A194" s="30"/>
      <c r="B194" s="60"/>
      <c r="C194" s="60"/>
      <c r="D194" s="30"/>
      <c r="E194" s="36"/>
      <c r="F194" s="50"/>
    </row>
    <row r="195" spans="1:6" x14ac:dyDescent="0.25">
      <c r="A195" s="31"/>
      <c r="B195" s="6"/>
      <c r="C195" s="6"/>
      <c r="D195" s="31"/>
      <c r="E195" s="37"/>
      <c r="F195" s="52"/>
    </row>
    <row r="196" spans="1:6" x14ac:dyDescent="0.25">
      <c r="A196" s="30"/>
      <c r="B196" s="60"/>
      <c r="C196" s="60"/>
      <c r="D196" s="30"/>
      <c r="E196" s="36"/>
      <c r="F196" s="50"/>
    </row>
    <row r="197" spans="1:6" x14ac:dyDescent="0.25">
      <c r="A197" s="31"/>
      <c r="B197" s="6"/>
      <c r="C197" s="6"/>
      <c r="D197" s="31"/>
      <c r="E197" s="37"/>
      <c r="F197" s="52"/>
    </row>
    <row r="198" spans="1:6" x14ac:dyDescent="0.25">
      <c r="A198" s="30"/>
      <c r="B198" s="60"/>
      <c r="C198" s="60"/>
      <c r="D198" s="30"/>
      <c r="E198" s="36"/>
      <c r="F198" s="50"/>
    </row>
    <row r="199" spans="1:6" x14ac:dyDescent="0.25">
      <c r="A199" s="31"/>
      <c r="B199" s="6"/>
      <c r="C199" s="6"/>
      <c r="D199" s="31"/>
      <c r="E199" s="37"/>
      <c r="F199" s="52"/>
    </row>
    <row r="200" spans="1:6" x14ac:dyDescent="0.25">
      <c r="A200" s="30"/>
      <c r="B200" s="60"/>
      <c r="C200" s="60"/>
      <c r="D200" s="30"/>
      <c r="E200" s="36"/>
      <c r="F200" s="50"/>
    </row>
    <row r="201" spans="1:6" x14ac:dyDescent="0.25">
      <c r="A201" s="31"/>
      <c r="B201" s="6"/>
      <c r="C201" s="6"/>
      <c r="D201" s="31"/>
      <c r="E201" s="37"/>
      <c r="F201" s="52"/>
    </row>
    <row r="202" spans="1:6" x14ac:dyDescent="0.25">
      <c r="A202" s="30"/>
      <c r="B202" s="60"/>
      <c r="C202" s="60"/>
      <c r="D202" s="30"/>
      <c r="E202" s="36"/>
      <c r="F202" s="50"/>
    </row>
    <row r="203" spans="1:6" x14ac:dyDescent="0.25">
      <c r="A203" s="31"/>
      <c r="B203" s="6"/>
      <c r="C203" s="6"/>
      <c r="D203" s="31"/>
      <c r="E203" s="37"/>
      <c r="F203" s="52"/>
    </row>
    <row r="204" spans="1:6" x14ac:dyDescent="0.25">
      <c r="A204" s="30"/>
      <c r="B204" s="60"/>
      <c r="C204" s="60"/>
      <c r="D204" s="30"/>
      <c r="E204" s="36"/>
      <c r="F204" s="50"/>
    </row>
    <row r="205" spans="1:6" x14ac:dyDescent="0.25">
      <c r="A205" s="31"/>
      <c r="B205" s="6"/>
      <c r="C205" s="6"/>
      <c r="D205" s="31"/>
      <c r="E205" s="37"/>
      <c r="F205" s="52"/>
    </row>
    <row r="206" spans="1:6" x14ac:dyDescent="0.25">
      <c r="A206" s="30"/>
      <c r="B206" s="60"/>
      <c r="C206" s="60"/>
      <c r="D206" s="30"/>
      <c r="E206" s="36"/>
      <c r="F206" s="50"/>
    </row>
    <row r="207" spans="1:6" x14ac:dyDescent="0.25">
      <c r="A207" s="31"/>
      <c r="B207" s="6"/>
      <c r="C207" s="6"/>
      <c r="D207" s="31"/>
      <c r="E207" s="37"/>
      <c r="F207" s="52"/>
    </row>
    <row r="208" spans="1:6" x14ac:dyDescent="0.25">
      <c r="A208" s="30"/>
      <c r="B208" s="60"/>
      <c r="C208" s="60"/>
      <c r="D208" s="30"/>
      <c r="E208" s="36"/>
      <c r="F208" s="50"/>
    </row>
    <row r="209" spans="1:6" x14ac:dyDescent="0.25">
      <c r="A209" s="31"/>
      <c r="B209" s="6"/>
      <c r="C209" s="6"/>
      <c r="D209" s="31"/>
      <c r="E209" s="37"/>
      <c r="F209" s="52"/>
    </row>
    <row r="210" spans="1:6" x14ac:dyDescent="0.25">
      <c r="A210" s="30"/>
      <c r="B210" s="60"/>
      <c r="C210" s="60"/>
      <c r="D210" s="30"/>
      <c r="E210" s="36"/>
      <c r="F210" s="50"/>
    </row>
    <row r="211" spans="1:6" x14ac:dyDescent="0.25">
      <c r="A211" s="31"/>
      <c r="B211" s="6"/>
      <c r="C211" s="6"/>
      <c r="D211" s="31"/>
      <c r="E211" s="37"/>
      <c r="F211" s="52"/>
    </row>
    <row r="212" spans="1:6" x14ac:dyDescent="0.25">
      <c r="A212" s="30"/>
      <c r="B212" s="60"/>
      <c r="C212" s="60"/>
      <c r="D212" s="30"/>
      <c r="E212" s="36"/>
      <c r="F212" s="50"/>
    </row>
    <row r="213" spans="1:6" x14ac:dyDescent="0.25">
      <c r="A213" s="31"/>
      <c r="B213" s="6"/>
      <c r="C213" s="6"/>
      <c r="D213" s="31"/>
      <c r="E213" s="37"/>
      <c r="F213" s="52"/>
    </row>
    <row r="214" spans="1:6" x14ac:dyDescent="0.25">
      <c r="A214" s="30"/>
      <c r="B214" s="60"/>
      <c r="C214" s="60"/>
      <c r="D214" s="30"/>
      <c r="E214" s="36"/>
      <c r="F214" s="50"/>
    </row>
    <row r="215" spans="1:6" x14ac:dyDescent="0.25">
      <c r="A215" s="31"/>
      <c r="B215" s="6"/>
      <c r="C215" s="6"/>
      <c r="D215" s="31"/>
      <c r="E215" s="37"/>
      <c r="F215" s="52"/>
    </row>
    <row r="216" spans="1:6" x14ac:dyDescent="0.25">
      <c r="A216" s="30"/>
      <c r="B216" s="60"/>
      <c r="C216" s="60"/>
      <c r="D216" s="30"/>
      <c r="E216" s="36"/>
      <c r="F216" s="50"/>
    </row>
    <row r="217" spans="1:6" x14ac:dyDescent="0.25">
      <c r="A217" s="31"/>
      <c r="B217" s="6"/>
      <c r="C217" s="6"/>
      <c r="D217" s="31"/>
      <c r="E217" s="37"/>
      <c r="F217" s="52"/>
    </row>
    <row r="218" spans="1:6" x14ac:dyDescent="0.25">
      <c r="A218" s="30"/>
      <c r="B218" s="60"/>
      <c r="C218" s="60"/>
      <c r="D218" s="30"/>
      <c r="E218" s="36"/>
      <c r="F218" s="50"/>
    </row>
    <row r="219" spans="1:6" x14ac:dyDescent="0.25">
      <c r="A219" s="31"/>
      <c r="B219" s="6"/>
      <c r="C219" s="6"/>
      <c r="D219" s="31"/>
      <c r="E219" s="37"/>
      <c r="F219" s="52"/>
    </row>
    <row r="220" spans="1:6" x14ac:dyDescent="0.25">
      <c r="A220" s="30"/>
      <c r="B220" s="60"/>
      <c r="C220" s="60"/>
      <c r="D220" s="30"/>
      <c r="E220" s="36"/>
      <c r="F220" s="50"/>
    </row>
    <row r="221" spans="1:6" x14ac:dyDescent="0.25">
      <c r="A221" s="31"/>
      <c r="B221" s="6"/>
      <c r="C221" s="6"/>
      <c r="D221" s="31"/>
      <c r="E221" s="37"/>
      <c r="F221" s="52"/>
    </row>
    <row r="222" spans="1:6" x14ac:dyDescent="0.25">
      <c r="A222" s="30"/>
      <c r="B222" s="60"/>
      <c r="C222" s="60"/>
      <c r="D222" s="30"/>
      <c r="E222" s="36"/>
      <c r="F222" s="50"/>
    </row>
    <row r="223" spans="1:6" x14ac:dyDescent="0.25">
      <c r="A223" s="31"/>
      <c r="B223" s="6"/>
      <c r="C223" s="6"/>
      <c r="D223" s="31"/>
      <c r="E223" s="37"/>
      <c r="F223" s="52"/>
    </row>
    <row r="224" spans="1:6" x14ac:dyDescent="0.25">
      <c r="A224" s="30"/>
      <c r="B224" s="60"/>
      <c r="C224" s="60"/>
      <c r="D224" s="30"/>
      <c r="E224" s="36"/>
      <c r="F224" s="50"/>
    </row>
    <row r="225" spans="1:6" x14ac:dyDescent="0.25">
      <c r="A225" s="31"/>
      <c r="B225" s="6"/>
      <c r="C225" s="6"/>
      <c r="D225" s="31"/>
      <c r="E225" s="37"/>
      <c r="F225" s="52"/>
    </row>
    <row r="226" spans="1:6" x14ac:dyDescent="0.25">
      <c r="A226" s="30"/>
      <c r="B226" s="60"/>
      <c r="C226" s="60"/>
      <c r="D226" s="30"/>
      <c r="E226" s="36"/>
      <c r="F226" s="50"/>
    </row>
    <row r="227" spans="1:6" x14ac:dyDescent="0.25">
      <c r="A227" s="30"/>
      <c r="B227" s="60"/>
      <c r="C227" s="60"/>
      <c r="D227" s="30"/>
      <c r="E227" s="36"/>
      <c r="F227" s="50"/>
    </row>
    <row r="228" spans="1:6" x14ac:dyDescent="0.25">
      <c r="A228" s="31"/>
      <c r="B228" s="6"/>
      <c r="C228" s="6"/>
      <c r="D228" s="31"/>
      <c r="E228" s="37"/>
      <c r="F228" s="52"/>
    </row>
    <row r="229" spans="1:6" x14ac:dyDescent="0.25">
      <c r="A229" s="30"/>
      <c r="B229" s="60"/>
      <c r="C229" s="60"/>
      <c r="D229" s="30"/>
      <c r="E229" s="36"/>
      <c r="F229" s="50"/>
    </row>
    <row r="230" spans="1:6" x14ac:dyDescent="0.25">
      <c r="A230" s="30"/>
      <c r="B230" s="60"/>
      <c r="C230" s="60"/>
      <c r="D230" s="30"/>
      <c r="E230" s="36"/>
      <c r="F230" s="50"/>
    </row>
    <row r="231" spans="1:6" x14ac:dyDescent="0.25">
      <c r="A231" s="31"/>
      <c r="B231" s="6"/>
      <c r="C231" s="6"/>
      <c r="D231" s="31"/>
      <c r="E231" s="37"/>
      <c r="F231" s="52"/>
    </row>
    <row r="232" spans="1:6" x14ac:dyDescent="0.25">
      <c r="A232" s="30"/>
      <c r="B232" s="60"/>
      <c r="C232" s="60"/>
      <c r="D232" s="30"/>
      <c r="E232" s="36"/>
      <c r="F232" s="50"/>
    </row>
    <row r="233" spans="1:6" x14ac:dyDescent="0.25">
      <c r="A233" s="30"/>
      <c r="B233" s="60"/>
      <c r="C233" s="60"/>
      <c r="D233" s="30"/>
      <c r="E233" s="36"/>
      <c r="F233" s="50"/>
    </row>
    <row r="234" spans="1:6" x14ac:dyDescent="0.25">
      <c r="A234" s="31"/>
      <c r="B234" s="6"/>
      <c r="C234" s="6"/>
      <c r="D234" s="31"/>
      <c r="E234" s="37"/>
      <c r="F234" s="52"/>
    </row>
    <row r="235" spans="1:6" x14ac:dyDescent="0.25">
      <c r="A235" s="30"/>
      <c r="B235" s="60"/>
      <c r="C235" s="60"/>
      <c r="D235" s="30"/>
      <c r="E235" s="36"/>
      <c r="F235" s="50"/>
    </row>
    <row r="236" spans="1:6" x14ac:dyDescent="0.25">
      <c r="A236" s="30"/>
      <c r="B236" s="60"/>
      <c r="C236" s="60"/>
      <c r="D236" s="30"/>
      <c r="E236" s="36"/>
      <c r="F236" s="50"/>
    </row>
    <row r="237" spans="1:6" x14ac:dyDescent="0.25">
      <c r="A237" s="31"/>
      <c r="B237" s="6"/>
      <c r="C237" s="6"/>
      <c r="D237" s="31"/>
      <c r="E237" s="37"/>
      <c r="F237" s="52"/>
    </row>
    <row r="238" spans="1:6" x14ac:dyDescent="0.25">
      <c r="A238" s="30"/>
      <c r="B238" s="60"/>
      <c r="C238" s="60"/>
      <c r="D238" s="30"/>
      <c r="E238" s="36"/>
      <c r="F238" s="50"/>
    </row>
    <row r="239" spans="1:6" x14ac:dyDescent="0.25">
      <c r="A239" s="30"/>
      <c r="B239" s="60"/>
      <c r="C239" s="60"/>
      <c r="D239" s="30"/>
      <c r="E239" s="36"/>
      <c r="F239" s="50"/>
    </row>
    <row r="240" spans="1:6" x14ac:dyDescent="0.25">
      <c r="A240" s="31"/>
      <c r="B240" s="6"/>
      <c r="C240" s="6"/>
      <c r="D240" s="31"/>
      <c r="E240" s="37"/>
      <c r="F240" s="52"/>
    </row>
    <row r="241" spans="1:6" x14ac:dyDescent="0.25">
      <c r="A241" s="30"/>
      <c r="B241" s="60"/>
      <c r="C241" s="60"/>
      <c r="D241" s="30"/>
      <c r="E241" s="36"/>
      <c r="F241" s="50"/>
    </row>
    <row r="242" spans="1:6" x14ac:dyDescent="0.25">
      <c r="A242" s="30"/>
      <c r="B242" s="60"/>
      <c r="C242" s="60"/>
      <c r="D242" s="30"/>
      <c r="E242" s="36"/>
      <c r="F242" s="50"/>
    </row>
    <row r="243" spans="1:6" x14ac:dyDescent="0.25">
      <c r="A243" s="31"/>
      <c r="B243" s="6"/>
      <c r="C243" s="6"/>
      <c r="D243" s="31"/>
      <c r="E243" s="37"/>
      <c r="F243" s="52"/>
    </row>
    <row r="244" spans="1:6" x14ac:dyDescent="0.25">
      <c r="A244" s="30"/>
      <c r="B244" s="60"/>
      <c r="C244" s="60"/>
      <c r="D244" s="30"/>
      <c r="E244" s="36"/>
      <c r="F244" s="50"/>
    </row>
    <row r="245" spans="1:6" x14ac:dyDescent="0.25">
      <c r="A245" s="31"/>
      <c r="B245" s="6"/>
      <c r="C245" s="6"/>
      <c r="D245" s="31"/>
      <c r="E245" s="37"/>
      <c r="F245" s="52"/>
    </row>
    <row r="246" spans="1:6" x14ac:dyDescent="0.25">
      <c r="A246" s="30"/>
      <c r="B246" s="60"/>
      <c r="C246" s="60"/>
      <c r="D246" s="30"/>
      <c r="E246" s="36"/>
      <c r="F246" s="50"/>
    </row>
    <row r="247" spans="1:6" x14ac:dyDescent="0.25">
      <c r="A247" s="31"/>
      <c r="B247" s="6"/>
      <c r="C247" s="6"/>
      <c r="D247" s="31"/>
      <c r="E247" s="37"/>
      <c r="F247" s="52"/>
    </row>
    <row r="248" spans="1:6" x14ac:dyDescent="0.25">
      <c r="A248" s="30"/>
      <c r="B248" s="60"/>
      <c r="C248" s="60"/>
      <c r="D248" s="30"/>
      <c r="E248" s="36"/>
      <c r="F248" s="50"/>
    </row>
    <row r="249" spans="1:6" x14ac:dyDescent="0.25">
      <c r="A249" s="31"/>
      <c r="B249" s="6"/>
      <c r="C249" s="6"/>
      <c r="D249" s="31"/>
      <c r="E249" s="37"/>
      <c r="F249" s="52"/>
    </row>
    <row r="250" spans="1:6" x14ac:dyDescent="0.25">
      <c r="A250" s="30"/>
      <c r="B250" s="60"/>
      <c r="C250" s="60"/>
      <c r="D250" s="30"/>
      <c r="E250" s="36"/>
      <c r="F250" s="50"/>
    </row>
    <row r="251" spans="1:6" x14ac:dyDescent="0.25">
      <c r="A251" s="31"/>
      <c r="B251" s="6"/>
      <c r="C251" s="6"/>
      <c r="D251" s="31"/>
      <c r="E251" s="37"/>
      <c r="F251" s="52"/>
    </row>
    <row r="252" spans="1:6" x14ac:dyDescent="0.25">
      <c r="A252" s="30"/>
      <c r="B252" s="60"/>
      <c r="C252" s="60"/>
      <c r="D252" s="30"/>
      <c r="E252" s="36"/>
      <c r="F252" s="50"/>
    </row>
    <row r="253" spans="1:6" x14ac:dyDescent="0.25">
      <c r="A253" s="31"/>
      <c r="B253" s="6"/>
      <c r="C253" s="6"/>
      <c r="D253" s="31"/>
      <c r="E253" s="37"/>
      <c r="F253" s="52"/>
    </row>
    <row r="254" spans="1:6" x14ac:dyDescent="0.25">
      <c r="A254" s="30"/>
      <c r="B254" s="60"/>
      <c r="C254" s="60"/>
      <c r="D254" s="30"/>
      <c r="E254" s="36"/>
      <c r="F254" s="50"/>
    </row>
    <row r="255" spans="1:6" x14ac:dyDescent="0.25">
      <c r="A255" s="31"/>
      <c r="B255" s="6"/>
      <c r="C255" s="6"/>
      <c r="D255" s="31"/>
      <c r="E255" s="37"/>
      <c r="F255" s="52"/>
    </row>
    <row r="256" spans="1:6" x14ac:dyDescent="0.25">
      <c r="A256" s="30"/>
      <c r="B256" s="60"/>
      <c r="C256" s="60"/>
      <c r="D256" s="30"/>
      <c r="E256" s="36"/>
      <c r="F256" s="50"/>
    </row>
    <row r="257" spans="1:6" x14ac:dyDescent="0.25">
      <c r="A257" s="30"/>
      <c r="B257" s="60"/>
      <c r="C257" s="60"/>
      <c r="D257" s="30"/>
      <c r="E257" s="36"/>
      <c r="F257" s="50"/>
    </row>
    <row r="258" spans="1:6" x14ac:dyDescent="0.25">
      <c r="A258" s="31"/>
      <c r="B258" s="6"/>
      <c r="C258" s="6"/>
      <c r="D258" s="31"/>
      <c r="E258" s="37"/>
      <c r="F258" s="52"/>
    </row>
    <row r="259" spans="1:6" x14ac:dyDescent="0.25">
      <c r="A259" s="30"/>
      <c r="B259" s="60"/>
      <c r="C259" s="60"/>
      <c r="D259" s="30"/>
      <c r="E259" s="36"/>
      <c r="F259" s="50"/>
    </row>
    <row r="260" spans="1:6" x14ac:dyDescent="0.25">
      <c r="A260" s="31"/>
      <c r="B260" s="6"/>
      <c r="C260" s="6"/>
      <c r="D260" s="31"/>
      <c r="E260" s="37"/>
      <c r="F260" s="52"/>
    </row>
    <row r="261" spans="1:6" x14ac:dyDescent="0.25">
      <c r="A261" s="30"/>
      <c r="B261" s="60"/>
      <c r="C261" s="60"/>
      <c r="D261" s="30"/>
      <c r="E261" s="36"/>
      <c r="F261" s="50"/>
    </row>
    <row r="262" spans="1:6" x14ac:dyDescent="0.25">
      <c r="A262" s="31"/>
      <c r="B262" s="6"/>
      <c r="C262" s="6"/>
      <c r="D262" s="31"/>
      <c r="E262" s="37"/>
      <c r="F262" s="52"/>
    </row>
    <row r="263" spans="1:6" x14ac:dyDescent="0.25">
      <c r="A263" s="30"/>
      <c r="B263" s="60"/>
      <c r="C263" s="60"/>
      <c r="D263" s="30"/>
      <c r="E263" s="36"/>
      <c r="F263" s="50"/>
    </row>
    <row r="264" spans="1:6" x14ac:dyDescent="0.25">
      <c r="A264" s="30"/>
      <c r="B264" s="60"/>
      <c r="C264" s="60"/>
      <c r="D264" s="30"/>
      <c r="E264" s="36"/>
      <c r="F264" s="50"/>
    </row>
    <row r="265" spans="1:6" x14ac:dyDescent="0.25">
      <c r="A265" s="31"/>
      <c r="B265" s="6"/>
      <c r="C265" s="6"/>
      <c r="D265" s="31"/>
      <c r="E265" s="37"/>
      <c r="F265" s="52"/>
    </row>
    <row r="266" spans="1:6" x14ac:dyDescent="0.25">
      <c r="A266" s="30"/>
      <c r="B266" s="60"/>
      <c r="C266" s="60"/>
      <c r="D266" s="30"/>
      <c r="E266" s="36"/>
      <c r="F266" s="50"/>
    </row>
    <row r="267" spans="1:6" x14ac:dyDescent="0.25">
      <c r="A267" s="31"/>
      <c r="B267" s="6"/>
      <c r="C267" s="6"/>
      <c r="D267" s="31"/>
      <c r="E267" s="37"/>
      <c r="F267" s="52"/>
    </row>
    <row r="268" spans="1:6" x14ac:dyDescent="0.25">
      <c r="A268" s="30"/>
      <c r="B268" s="60"/>
      <c r="C268" s="60"/>
      <c r="D268" s="30"/>
      <c r="E268" s="36"/>
      <c r="F268" s="50"/>
    </row>
    <row r="269" spans="1:6" x14ac:dyDescent="0.25">
      <c r="A269" s="30"/>
      <c r="B269" s="60"/>
      <c r="C269" s="60"/>
      <c r="D269" s="30"/>
      <c r="E269" s="36"/>
      <c r="F269" s="50"/>
    </row>
    <row r="270" spans="1:6" x14ac:dyDescent="0.25">
      <c r="A270" s="31"/>
      <c r="B270" s="6"/>
      <c r="C270" s="6"/>
      <c r="D270" s="31"/>
      <c r="E270" s="37"/>
      <c r="F270" s="52"/>
    </row>
    <row r="271" spans="1:6" x14ac:dyDescent="0.25">
      <c r="A271" s="30"/>
      <c r="B271" s="60"/>
      <c r="C271" s="60"/>
      <c r="D271" s="30"/>
      <c r="E271" s="36"/>
      <c r="F271" s="50"/>
    </row>
    <row r="272" spans="1:6" x14ac:dyDescent="0.25">
      <c r="A272" s="31"/>
      <c r="B272" s="6"/>
      <c r="C272" s="6"/>
      <c r="D272" s="31"/>
      <c r="E272" s="37"/>
      <c r="F272" s="52"/>
    </row>
    <row r="273" spans="1:6" x14ac:dyDescent="0.25">
      <c r="A273" s="30"/>
      <c r="B273" s="60"/>
      <c r="C273" s="60"/>
      <c r="D273" s="30"/>
      <c r="E273" s="36"/>
      <c r="F273" s="50"/>
    </row>
    <row r="274" spans="1:6" x14ac:dyDescent="0.25">
      <c r="A274" s="30"/>
      <c r="B274" s="60"/>
      <c r="C274" s="60"/>
      <c r="D274" s="30"/>
      <c r="E274" s="36"/>
      <c r="F274" s="50"/>
    </row>
    <row r="275" spans="1:6" x14ac:dyDescent="0.25">
      <c r="A275" s="31"/>
      <c r="B275" s="6"/>
      <c r="C275" s="6"/>
      <c r="D275" s="31"/>
      <c r="E275" s="37"/>
      <c r="F275" s="52"/>
    </row>
    <row r="276" spans="1:6" x14ac:dyDescent="0.25">
      <c r="A276" s="30"/>
      <c r="B276" s="60"/>
      <c r="C276" s="60"/>
      <c r="D276" s="30"/>
      <c r="E276" s="36"/>
      <c r="F276" s="50"/>
    </row>
    <row r="277" spans="1:6" x14ac:dyDescent="0.25">
      <c r="A277" s="31"/>
      <c r="B277" s="6"/>
      <c r="C277" s="6"/>
      <c r="D277" s="31"/>
      <c r="E277" s="37"/>
      <c r="F277" s="52"/>
    </row>
    <row r="278" spans="1:6" x14ac:dyDescent="0.25">
      <c r="A278" s="30"/>
      <c r="B278" s="60"/>
      <c r="C278" s="60"/>
      <c r="D278" s="30"/>
      <c r="E278" s="36"/>
      <c r="F278" s="50"/>
    </row>
    <row r="279" spans="1:6" x14ac:dyDescent="0.25">
      <c r="A279" s="30"/>
      <c r="B279" s="60"/>
      <c r="C279" s="60"/>
      <c r="D279" s="30"/>
      <c r="E279" s="36"/>
      <c r="F279" s="50"/>
    </row>
    <row r="280" spans="1:6" x14ac:dyDescent="0.25">
      <c r="A280" s="31"/>
      <c r="B280" s="6"/>
      <c r="C280" s="6"/>
      <c r="D280" s="31"/>
      <c r="E280" s="37"/>
      <c r="F280" s="52"/>
    </row>
    <row r="281" spans="1:6" x14ac:dyDescent="0.25">
      <c r="A281" s="30"/>
      <c r="B281" s="60"/>
      <c r="C281" s="60"/>
      <c r="D281" s="30"/>
      <c r="E281" s="36"/>
      <c r="F281" s="50"/>
    </row>
    <row r="282" spans="1:6" x14ac:dyDescent="0.25">
      <c r="A282" s="31"/>
      <c r="B282" s="6"/>
      <c r="C282" s="6"/>
      <c r="D282" s="31"/>
      <c r="E282" s="37"/>
      <c r="F282" s="52"/>
    </row>
    <row r="283" spans="1:6" x14ac:dyDescent="0.25">
      <c r="A283" s="30"/>
      <c r="B283" s="60"/>
      <c r="C283" s="60"/>
      <c r="D283" s="30"/>
      <c r="E283" s="36"/>
      <c r="F283" s="50"/>
    </row>
    <row r="284" spans="1:6" x14ac:dyDescent="0.25">
      <c r="A284" s="30"/>
      <c r="B284" s="60"/>
      <c r="C284" s="60"/>
      <c r="D284" s="30"/>
      <c r="E284" s="36"/>
      <c r="F284" s="50"/>
    </row>
    <row r="285" spans="1:6" x14ac:dyDescent="0.25">
      <c r="A285" s="31"/>
      <c r="B285" s="6"/>
      <c r="C285" s="6"/>
      <c r="D285" s="31"/>
      <c r="E285" s="37"/>
      <c r="F285" s="52"/>
    </row>
    <row r="286" spans="1:6" x14ac:dyDescent="0.25">
      <c r="A286" s="30"/>
      <c r="B286" s="60"/>
      <c r="C286" s="60"/>
      <c r="D286" s="30"/>
      <c r="E286" s="36"/>
      <c r="F286" s="50"/>
    </row>
    <row r="287" spans="1:6" x14ac:dyDescent="0.25">
      <c r="A287" s="31"/>
      <c r="B287" s="6"/>
      <c r="C287" s="6"/>
      <c r="D287" s="31"/>
      <c r="E287" s="37"/>
      <c r="F287" s="52"/>
    </row>
    <row r="288" spans="1:6" x14ac:dyDescent="0.25">
      <c r="A288" s="30"/>
      <c r="B288" s="60"/>
      <c r="C288" s="60"/>
      <c r="D288" s="30"/>
      <c r="E288" s="36"/>
      <c r="F288" s="50"/>
    </row>
    <row r="289" spans="1:6" x14ac:dyDescent="0.25">
      <c r="A289" s="30"/>
      <c r="B289" s="60"/>
      <c r="C289" s="60"/>
      <c r="D289" s="30"/>
      <c r="E289" s="36"/>
      <c r="F289" s="50"/>
    </row>
    <row r="290" spans="1:6" x14ac:dyDescent="0.25">
      <c r="A290" s="31"/>
      <c r="B290" s="6"/>
      <c r="C290" s="6"/>
      <c r="D290" s="31"/>
      <c r="E290" s="37"/>
      <c r="F290" s="52"/>
    </row>
    <row r="291" spans="1:6" x14ac:dyDescent="0.25">
      <c r="A291" s="30"/>
      <c r="B291" s="60"/>
      <c r="C291" s="60"/>
      <c r="D291" s="30"/>
      <c r="E291" s="36"/>
      <c r="F291" s="50"/>
    </row>
    <row r="292" spans="1:6" x14ac:dyDescent="0.25">
      <c r="A292" s="31"/>
      <c r="B292" s="6"/>
      <c r="C292" s="6"/>
      <c r="D292" s="31"/>
      <c r="E292" s="37"/>
      <c r="F292" s="52"/>
    </row>
    <row r="293" spans="1:6" x14ac:dyDescent="0.25">
      <c r="A293" s="30"/>
      <c r="B293" s="60"/>
      <c r="C293" s="60"/>
      <c r="D293" s="30"/>
      <c r="E293" s="36"/>
      <c r="F293" s="50"/>
    </row>
    <row r="294" spans="1:6" x14ac:dyDescent="0.25">
      <c r="A294" s="30"/>
      <c r="B294" s="60"/>
      <c r="C294" s="60"/>
      <c r="D294" s="30"/>
      <c r="E294" s="36"/>
      <c r="F294" s="50"/>
    </row>
    <row r="295" spans="1:6" x14ac:dyDescent="0.25">
      <c r="A295" s="31"/>
      <c r="B295" s="6"/>
      <c r="C295" s="6"/>
      <c r="D295" s="31"/>
      <c r="E295" s="37"/>
      <c r="F295" s="52"/>
    </row>
    <row r="296" spans="1:6" x14ac:dyDescent="0.25">
      <c r="A296" s="30"/>
      <c r="B296" s="60"/>
      <c r="C296" s="60"/>
      <c r="D296" s="30"/>
      <c r="E296" s="36"/>
      <c r="F296" s="50"/>
    </row>
    <row r="297" spans="1:6" x14ac:dyDescent="0.25">
      <c r="A297" s="31"/>
      <c r="B297" s="6"/>
      <c r="C297" s="6"/>
      <c r="D297" s="31"/>
      <c r="E297" s="37"/>
      <c r="F297" s="52"/>
    </row>
    <row r="298" spans="1:6" x14ac:dyDescent="0.25">
      <c r="A298" s="30"/>
      <c r="B298" s="60"/>
      <c r="C298" s="60"/>
      <c r="D298" s="30"/>
      <c r="E298" s="36"/>
      <c r="F298" s="50"/>
    </row>
    <row r="299" spans="1:6" x14ac:dyDescent="0.25">
      <c r="A299" s="30"/>
      <c r="B299" s="60"/>
      <c r="C299" s="60"/>
      <c r="D299" s="30"/>
      <c r="E299" s="36"/>
      <c r="F299" s="50"/>
    </row>
    <row r="300" spans="1:6" x14ac:dyDescent="0.25">
      <c r="A300" s="31"/>
      <c r="B300" s="6"/>
      <c r="C300" s="6"/>
      <c r="D300" s="31"/>
      <c r="E300" s="37"/>
      <c r="F300" s="52"/>
    </row>
    <row r="301" spans="1:6" x14ac:dyDescent="0.25">
      <c r="A301" s="30"/>
      <c r="B301" s="60"/>
      <c r="C301" s="60"/>
      <c r="D301" s="30"/>
      <c r="E301" s="36"/>
      <c r="F301" s="50"/>
    </row>
    <row r="302" spans="1:6" x14ac:dyDescent="0.25">
      <c r="A302" s="31"/>
      <c r="B302" s="6"/>
      <c r="C302" s="6"/>
      <c r="D302" s="31"/>
      <c r="E302" s="37"/>
      <c r="F302" s="52"/>
    </row>
    <row r="303" spans="1:6" x14ac:dyDescent="0.25">
      <c r="A303" s="30"/>
      <c r="B303" s="60"/>
      <c r="C303" s="60"/>
      <c r="D303" s="30"/>
      <c r="E303" s="36"/>
      <c r="F303" s="50"/>
    </row>
    <row r="304" spans="1:6" x14ac:dyDescent="0.25">
      <c r="A304" s="30"/>
      <c r="B304" s="60"/>
      <c r="C304" s="60"/>
      <c r="D304" s="30"/>
      <c r="E304" s="36"/>
      <c r="F304" s="50"/>
    </row>
    <row r="305" spans="1:6" x14ac:dyDescent="0.25">
      <c r="A305" s="31"/>
      <c r="B305" s="6"/>
      <c r="C305" s="6"/>
      <c r="D305" s="31"/>
      <c r="E305" s="37"/>
      <c r="F305" s="52"/>
    </row>
    <row r="306" spans="1:6" x14ac:dyDescent="0.25">
      <c r="A306" s="30"/>
      <c r="B306" s="60"/>
      <c r="C306" s="60"/>
      <c r="D306" s="30"/>
      <c r="E306" s="36"/>
      <c r="F306" s="50"/>
    </row>
    <row r="307" spans="1:6" x14ac:dyDescent="0.25">
      <c r="A307" s="31"/>
      <c r="B307" s="6"/>
      <c r="C307" s="6"/>
      <c r="D307" s="31"/>
      <c r="E307" s="37"/>
      <c r="F307" s="52"/>
    </row>
    <row r="308" spans="1:6" x14ac:dyDescent="0.25">
      <c r="A308" s="30"/>
      <c r="B308" s="60"/>
      <c r="C308" s="60"/>
      <c r="D308" s="30"/>
      <c r="E308" s="36"/>
      <c r="F308" s="50"/>
    </row>
    <row r="309" spans="1:6" x14ac:dyDescent="0.25">
      <c r="A309" s="30"/>
      <c r="B309" s="60"/>
      <c r="C309" s="60"/>
      <c r="D309" s="30"/>
      <c r="E309" s="36"/>
      <c r="F309" s="50"/>
    </row>
    <row r="310" spans="1:6" x14ac:dyDescent="0.25">
      <c r="A310" s="31"/>
      <c r="B310" s="6"/>
      <c r="C310" s="6"/>
      <c r="D310" s="31"/>
      <c r="E310" s="37"/>
      <c r="F310" s="52"/>
    </row>
    <row r="311" spans="1:6" x14ac:dyDescent="0.25">
      <c r="A311" s="30"/>
      <c r="B311" s="60"/>
      <c r="C311" s="60"/>
      <c r="D311" s="30"/>
      <c r="E311" s="36"/>
      <c r="F311" s="50"/>
    </row>
    <row r="312" spans="1:6" x14ac:dyDescent="0.25">
      <c r="A312" s="31"/>
      <c r="B312" s="6"/>
      <c r="C312" s="6"/>
      <c r="D312" s="31"/>
      <c r="E312" s="37"/>
      <c r="F312" s="52"/>
    </row>
    <row r="313" spans="1:6" x14ac:dyDescent="0.25">
      <c r="A313" s="30"/>
      <c r="B313" s="60"/>
      <c r="C313" s="60"/>
      <c r="D313" s="30"/>
      <c r="E313" s="36"/>
      <c r="F313" s="50"/>
    </row>
    <row r="314" spans="1:6" x14ac:dyDescent="0.25">
      <c r="A314" s="30"/>
      <c r="B314" s="60"/>
      <c r="C314" s="60"/>
      <c r="D314" s="30"/>
      <c r="E314" s="36"/>
      <c r="F314" s="50"/>
    </row>
    <row r="315" spans="1:6" x14ac:dyDescent="0.25">
      <c r="A315" s="31"/>
      <c r="B315" s="6"/>
      <c r="C315" s="6"/>
      <c r="D315" s="31"/>
      <c r="E315" s="37"/>
      <c r="F315" s="52"/>
    </row>
    <row r="316" spans="1:6" x14ac:dyDescent="0.25">
      <c r="A316" s="30"/>
      <c r="B316" s="60"/>
      <c r="C316" s="60"/>
      <c r="D316" s="30"/>
      <c r="E316" s="36"/>
      <c r="F316" s="50"/>
    </row>
    <row r="317" spans="1:6" x14ac:dyDescent="0.25">
      <c r="A317" s="31"/>
      <c r="B317" s="6"/>
      <c r="C317" s="6"/>
      <c r="D317" s="31"/>
      <c r="E317" s="37"/>
      <c r="F317" s="52"/>
    </row>
    <row r="318" spans="1:6" x14ac:dyDescent="0.25">
      <c r="A318" s="30"/>
      <c r="B318" s="60"/>
      <c r="C318" s="60"/>
      <c r="D318" s="30"/>
      <c r="E318" s="36"/>
      <c r="F318" s="50"/>
    </row>
    <row r="319" spans="1:6" x14ac:dyDescent="0.25">
      <c r="A319" s="30"/>
      <c r="B319" s="60"/>
      <c r="C319" s="60"/>
      <c r="D319" s="30"/>
      <c r="E319" s="36"/>
      <c r="F319" s="50"/>
    </row>
    <row r="320" spans="1:6" x14ac:dyDescent="0.25">
      <c r="A320" s="31"/>
      <c r="B320" s="6"/>
      <c r="C320" s="6"/>
      <c r="D320" s="31"/>
      <c r="E320" s="37"/>
      <c r="F320" s="52"/>
    </row>
    <row r="321" spans="1:6" x14ac:dyDescent="0.25">
      <c r="A321" s="30"/>
      <c r="B321" s="60"/>
      <c r="C321" s="60"/>
      <c r="D321" s="30"/>
      <c r="E321" s="36"/>
      <c r="F321" s="50"/>
    </row>
    <row r="322" spans="1:6" x14ac:dyDescent="0.25">
      <c r="A322" s="31"/>
      <c r="B322" s="6"/>
      <c r="C322" s="6"/>
      <c r="D322" s="31"/>
      <c r="E322" s="37"/>
      <c r="F322" s="52"/>
    </row>
    <row r="323" spans="1:6" x14ac:dyDescent="0.25">
      <c r="A323" s="30"/>
      <c r="B323" s="60"/>
      <c r="C323" s="60"/>
      <c r="D323" s="30"/>
      <c r="E323" s="36"/>
      <c r="F323" s="50"/>
    </row>
    <row r="324" spans="1:6" x14ac:dyDescent="0.25">
      <c r="A324" s="30"/>
      <c r="B324" s="60"/>
      <c r="C324" s="60"/>
      <c r="D324" s="30"/>
      <c r="E324" s="36"/>
      <c r="F324" s="50"/>
    </row>
    <row r="325" spans="1:6" x14ac:dyDescent="0.25">
      <c r="A325" s="31"/>
      <c r="B325" s="6"/>
      <c r="C325" s="6"/>
      <c r="D325" s="31"/>
      <c r="E325" s="37"/>
      <c r="F325" s="52"/>
    </row>
    <row r="326" spans="1:6" x14ac:dyDescent="0.25">
      <c r="A326" s="30"/>
      <c r="B326" s="60"/>
      <c r="C326" s="60"/>
      <c r="D326" s="30"/>
      <c r="E326" s="36"/>
      <c r="F326" s="50"/>
    </row>
    <row r="327" spans="1:6" x14ac:dyDescent="0.25">
      <c r="A327" s="31"/>
      <c r="B327" s="6"/>
      <c r="C327" s="6"/>
      <c r="D327" s="31"/>
      <c r="E327" s="37"/>
      <c r="F327" s="52"/>
    </row>
    <row r="328" spans="1:6" x14ac:dyDescent="0.25">
      <c r="A328" s="30"/>
      <c r="B328" s="60"/>
      <c r="C328" s="60"/>
      <c r="D328" s="30"/>
      <c r="E328" s="36"/>
      <c r="F328" s="50"/>
    </row>
    <row r="329" spans="1:6" x14ac:dyDescent="0.25">
      <c r="A329" s="30"/>
      <c r="B329" s="60"/>
      <c r="C329" s="60"/>
      <c r="D329" s="30"/>
      <c r="E329" s="36"/>
      <c r="F329" s="50"/>
    </row>
    <row r="330" spans="1:6" x14ac:dyDescent="0.25">
      <c r="A330" s="31"/>
      <c r="B330" s="6"/>
      <c r="C330" s="6"/>
      <c r="D330" s="31"/>
      <c r="E330" s="37"/>
      <c r="F330" s="52"/>
    </row>
    <row r="331" spans="1:6" x14ac:dyDescent="0.25">
      <c r="A331" s="30"/>
      <c r="B331" s="60"/>
      <c r="C331" s="60"/>
      <c r="D331" s="30"/>
      <c r="E331" s="36"/>
      <c r="F331" s="50"/>
    </row>
    <row r="332" spans="1:6" x14ac:dyDescent="0.25">
      <c r="A332" s="31"/>
      <c r="B332" s="6"/>
      <c r="C332" s="6"/>
      <c r="D332" s="31"/>
      <c r="E332" s="37"/>
      <c r="F332" s="52"/>
    </row>
    <row r="333" spans="1:6" x14ac:dyDescent="0.25">
      <c r="A333" s="30"/>
      <c r="B333" s="60"/>
      <c r="C333" s="60"/>
      <c r="D333" s="30"/>
      <c r="E333" s="36"/>
      <c r="F333" s="50"/>
    </row>
    <row r="334" spans="1:6" x14ac:dyDescent="0.25">
      <c r="A334" s="30"/>
      <c r="B334" s="2"/>
      <c r="C334" s="2"/>
      <c r="D334" s="30"/>
      <c r="E334" s="36"/>
      <c r="F334" s="50"/>
    </row>
    <row r="335" spans="1:6" x14ac:dyDescent="0.25">
      <c r="A335" s="31"/>
      <c r="B335" s="5"/>
      <c r="C335" s="5"/>
      <c r="D335" s="31"/>
      <c r="E335" s="37"/>
      <c r="F335" s="52"/>
    </row>
    <row r="336" spans="1:6" x14ac:dyDescent="0.25">
      <c r="A336" s="30"/>
      <c r="B336" s="2"/>
      <c r="C336" s="2"/>
      <c r="D336" s="30"/>
      <c r="E336" s="36"/>
      <c r="F336" s="50"/>
    </row>
    <row r="337" spans="1:6" x14ac:dyDescent="0.25">
      <c r="A337" s="31"/>
      <c r="B337" s="5"/>
      <c r="C337" s="5"/>
      <c r="D337" s="31"/>
      <c r="E337" s="37"/>
      <c r="F337" s="52"/>
    </row>
    <row r="338" spans="1:6" x14ac:dyDescent="0.25">
      <c r="A338" s="30"/>
      <c r="B338" s="2"/>
      <c r="C338" s="2"/>
      <c r="D338" s="30"/>
      <c r="E338" s="36"/>
      <c r="F338" s="50"/>
    </row>
    <row r="339" spans="1:6" x14ac:dyDescent="0.25">
      <c r="A339" s="30"/>
      <c r="B339" s="2"/>
      <c r="C339" s="2"/>
      <c r="D339" s="30"/>
      <c r="E339" s="36"/>
      <c r="F339" s="50"/>
    </row>
    <row r="340" spans="1:6" x14ac:dyDescent="0.25">
      <c r="A340" s="31"/>
      <c r="B340" s="5"/>
      <c r="C340" s="5"/>
      <c r="D340" s="31"/>
      <c r="E340" s="37"/>
      <c r="F340" s="52"/>
    </row>
    <row r="341" spans="1:6" x14ac:dyDescent="0.25">
      <c r="A341" s="30"/>
      <c r="B341" s="2"/>
      <c r="C341" s="2"/>
      <c r="D341" s="30"/>
      <c r="E341" s="36"/>
      <c r="F341" s="50"/>
    </row>
    <row r="342" spans="1:6" x14ac:dyDescent="0.25">
      <c r="A342" s="31"/>
      <c r="B342" s="5"/>
      <c r="C342" s="5"/>
      <c r="D342" s="31"/>
      <c r="E342" s="37"/>
      <c r="F342" s="52"/>
    </row>
    <row r="343" spans="1:6" x14ac:dyDescent="0.25">
      <c r="A343" s="30"/>
      <c r="B343" s="2"/>
      <c r="C343" s="2"/>
      <c r="D343" s="30"/>
      <c r="E343" s="36"/>
      <c r="F343" s="50"/>
    </row>
    <row r="344" spans="1:6" x14ac:dyDescent="0.25">
      <c r="A344" s="30"/>
      <c r="B344" s="2"/>
      <c r="C344" s="2"/>
      <c r="D344" s="30"/>
      <c r="E344" s="36"/>
      <c r="F344" s="50"/>
    </row>
    <row r="345" spans="1:6" x14ac:dyDescent="0.25">
      <c r="A345" s="31"/>
      <c r="B345" s="5"/>
      <c r="C345" s="5"/>
      <c r="D345" s="31"/>
      <c r="E345" s="37"/>
      <c r="F345" s="52"/>
    </row>
    <row r="346" spans="1:6" x14ac:dyDescent="0.25">
      <c r="A346" s="30"/>
      <c r="B346" s="2"/>
      <c r="C346" s="2"/>
      <c r="D346" s="30"/>
      <c r="E346" s="36"/>
      <c r="F346" s="50"/>
    </row>
    <row r="347" spans="1:6" x14ac:dyDescent="0.25">
      <c r="A347" s="31"/>
      <c r="B347" s="5"/>
      <c r="C347" s="5"/>
      <c r="D347" s="31"/>
      <c r="E347" s="37"/>
      <c r="F347" s="52"/>
    </row>
    <row r="348" spans="1:6" x14ac:dyDescent="0.25">
      <c r="A348" s="30"/>
      <c r="B348" s="2"/>
      <c r="C348" s="2"/>
      <c r="D348" s="30"/>
      <c r="E348" s="36"/>
      <c r="F348" s="50"/>
    </row>
    <row r="349" spans="1:6" x14ac:dyDescent="0.25">
      <c r="A349" s="30"/>
      <c r="B349" s="2"/>
      <c r="C349" s="2"/>
      <c r="D349" s="30"/>
      <c r="E349" s="36"/>
      <c r="F349" s="50"/>
    </row>
    <row r="350" spans="1:6" x14ac:dyDescent="0.25">
      <c r="A350" s="31"/>
      <c r="B350" s="5"/>
      <c r="C350" s="5"/>
      <c r="D350" s="31"/>
      <c r="E350" s="37"/>
      <c r="F350" s="52"/>
    </row>
    <row r="351" spans="1:6" x14ac:dyDescent="0.25">
      <c r="A351" s="30"/>
      <c r="B351" s="2"/>
      <c r="C351" s="2"/>
      <c r="D351" s="30"/>
      <c r="E351" s="36"/>
      <c r="F351" s="50"/>
    </row>
    <row r="352" spans="1:6" x14ac:dyDescent="0.25">
      <c r="A352" s="31"/>
      <c r="B352" s="5"/>
      <c r="C352" s="5"/>
      <c r="D352" s="31"/>
      <c r="E352" s="37"/>
      <c r="F352" s="52"/>
    </row>
    <row r="353" spans="1:6" x14ac:dyDescent="0.25">
      <c r="A353" s="30"/>
      <c r="B353" s="2"/>
      <c r="C353" s="2"/>
      <c r="D353" s="30"/>
      <c r="E353" s="36"/>
      <c r="F353" s="50"/>
    </row>
    <row r="354" spans="1:6" x14ac:dyDescent="0.25">
      <c r="A354" s="30"/>
      <c r="B354" s="2"/>
      <c r="C354" s="2"/>
      <c r="D354" s="30"/>
      <c r="E354" s="36"/>
      <c r="F354" s="50"/>
    </row>
    <row r="355" spans="1:6" x14ac:dyDescent="0.25">
      <c r="A355" s="31"/>
      <c r="B355" s="5"/>
      <c r="C355" s="5"/>
      <c r="D355" s="31"/>
      <c r="E355" s="37"/>
      <c r="F355" s="52"/>
    </row>
    <row r="356" spans="1:6" x14ac:dyDescent="0.25">
      <c r="A356" s="30"/>
      <c r="B356" s="2"/>
      <c r="C356" s="2"/>
      <c r="D356" s="30"/>
      <c r="E356" s="36"/>
      <c r="F356" s="50"/>
    </row>
    <row r="357" spans="1:6" x14ac:dyDescent="0.25">
      <c r="A357" s="31"/>
      <c r="B357" s="5"/>
      <c r="C357" s="5"/>
      <c r="D357" s="31"/>
      <c r="E357" s="37"/>
      <c r="F357" s="52"/>
    </row>
    <row r="358" spans="1:6" x14ac:dyDescent="0.25">
      <c r="A358" s="30"/>
      <c r="B358" s="2"/>
      <c r="C358" s="2"/>
      <c r="D358" s="30"/>
      <c r="E358" s="36"/>
      <c r="F358" s="50"/>
    </row>
    <row r="359" spans="1:6" x14ac:dyDescent="0.25">
      <c r="A359" s="30"/>
      <c r="B359" s="2"/>
      <c r="C359" s="2"/>
      <c r="D359" s="30"/>
      <c r="E359" s="36"/>
      <c r="F359" s="50"/>
    </row>
    <row r="360" spans="1:6" x14ac:dyDescent="0.25">
      <c r="A360" s="31"/>
      <c r="B360" s="5"/>
      <c r="C360" s="5"/>
      <c r="D360" s="31"/>
      <c r="E360" s="37"/>
      <c r="F360" s="52"/>
    </row>
    <row r="361" spans="1:6" x14ac:dyDescent="0.25">
      <c r="A361" s="30"/>
      <c r="B361" s="2"/>
      <c r="C361" s="2"/>
      <c r="D361" s="30"/>
      <c r="E361" s="36"/>
      <c r="F361" s="50"/>
    </row>
    <row r="362" spans="1:6" x14ac:dyDescent="0.25">
      <c r="A362" s="31"/>
      <c r="B362" s="5"/>
      <c r="C362" s="5"/>
      <c r="D362" s="31"/>
      <c r="E362" s="37"/>
      <c r="F362" s="52"/>
    </row>
    <row r="363" spans="1:6" x14ac:dyDescent="0.25">
      <c r="A363" s="30"/>
      <c r="B363" s="2"/>
      <c r="C363" s="2"/>
      <c r="D363" s="30"/>
      <c r="E363" s="36"/>
      <c r="F363" s="50"/>
    </row>
    <row r="364" spans="1:6" x14ac:dyDescent="0.25">
      <c r="A364" s="31"/>
      <c r="B364" s="5"/>
      <c r="C364" s="5"/>
      <c r="D364" s="31"/>
      <c r="E364" s="37"/>
      <c r="F364" s="52"/>
    </row>
    <row r="365" spans="1:6" x14ac:dyDescent="0.25">
      <c r="A365" s="30"/>
      <c r="B365" s="2"/>
      <c r="C365" s="2"/>
      <c r="D365" s="30"/>
      <c r="E365" s="36"/>
      <c r="F365" s="50"/>
    </row>
    <row r="366" spans="1:6" x14ac:dyDescent="0.25">
      <c r="A366" s="31"/>
      <c r="B366" s="5"/>
      <c r="C366" s="5"/>
      <c r="D366" s="31"/>
      <c r="E366" s="37"/>
      <c r="F366" s="52"/>
    </row>
    <row r="367" spans="1:6" x14ac:dyDescent="0.25">
      <c r="A367" s="30"/>
      <c r="B367" s="2"/>
      <c r="C367" s="2"/>
      <c r="D367" s="30"/>
      <c r="E367" s="36"/>
      <c r="F367" s="50"/>
    </row>
    <row r="368" spans="1:6" x14ac:dyDescent="0.25">
      <c r="A368" s="31"/>
      <c r="B368" s="5"/>
      <c r="C368" s="5"/>
      <c r="D368" s="31"/>
      <c r="E368" s="37"/>
      <c r="F368" s="52"/>
    </row>
    <row r="369" spans="1:6" x14ac:dyDescent="0.25">
      <c r="A369" s="30"/>
      <c r="B369" s="2"/>
      <c r="C369" s="2"/>
      <c r="D369" s="30"/>
      <c r="E369" s="36"/>
      <c r="F369" s="50"/>
    </row>
    <row r="370" spans="1:6" x14ac:dyDescent="0.25">
      <c r="A370" s="31"/>
      <c r="B370" s="5"/>
      <c r="C370" s="5"/>
      <c r="D370" s="31"/>
      <c r="E370" s="37"/>
      <c r="F370" s="52"/>
    </row>
    <row r="371" spans="1:6" x14ac:dyDescent="0.25">
      <c r="A371" s="30"/>
      <c r="B371" s="2"/>
      <c r="C371" s="2"/>
      <c r="D371" s="30"/>
      <c r="E371" s="36"/>
      <c r="F371" s="50"/>
    </row>
    <row r="372" spans="1:6" x14ac:dyDescent="0.25">
      <c r="A372" s="30"/>
      <c r="B372" s="2"/>
      <c r="C372" s="2"/>
      <c r="D372" s="30"/>
      <c r="E372" s="36"/>
      <c r="F372" s="50"/>
    </row>
    <row r="373" spans="1:6" x14ac:dyDescent="0.25">
      <c r="A373" s="31"/>
      <c r="B373" s="5"/>
      <c r="C373" s="5"/>
      <c r="D373" s="31"/>
      <c r="E373" s="37"/>
      <c r="F373" s="52"/>
    </row>
    <row r="374" spans="1:6" x14ac:dyDescent="0.25">
      <c r="A374" s="30"/>
      <c r="B374" s="2"/>
      <c r="C374" s="2"/>
      <c r="D374" s="30"/>
      <c r="E374" s="36"/>
      <c r="F374" s="50"/>
    </row>
    <row r="375" spans="1:6" x14ac:dyDescent="0.25">
      <c r="A375" s="30"/>
      <c r="B375" s="2"/>
      <c r="C375" s="2"/>
      <c r="D375" s="30"/>
      <c r="E375" s="36"/>
      <c r="F375" s="50"/>
    </row>
    <row r="376" spans="1:6" x14ac:dyDescent="0.25">
      <c r="A376" s="31"/>
      <c r="B376" s="5"/>
      <c r="C376" s="5"/>
      <c r="D376" s="31"/>
      <c r="E376" s="37"/>
      <c r="F376" s="52"/>
    </row>
    <row r="377" spans="1:6" x14ac:dyDescent="0.25">
      <c r="A377" s="30"/>
      <c r="B377" s="2"/>
      <c r="C377" s="2"/>
      <c r="D377" s="30"/>
      <c r="E377" s="36"/>
      <c r="F377" s="50"/>
    </row>
    <row r="378" spans="1:6" x14ac:dyDescent="0.25">
      <c r="A378" s="30"/>
      <c r="B378" s="2"/>
      <c r="C378" s="2"/>
      <c r="D378" s="30"/>
      <c r="E378" s="36"/>
      <c r="F378" s="50"/>
    </row>
    <row r="379" spans="1:6" x14ac:dyDescent="0.25">
      <c r="A379" s="31"/>
      <c r="B379" s="5"/>
      <c r="C379" s="5"/>
      <c r="D379" s="31"/>
      <c r="E379" s="37"/>
      <c r="F379" s="52"/>
    </row>
    <row r="380" spans="1:6" x14ac:dyDescent="0.25">
      <c r="A380" s="30"/>
      <c r="B380" s="2"/>
      <c r="C380" s="2"/>
      <c r="D380" s="30"/>
      <c r="E380" s="36"/>
      <c r="F380" s="50"/>
    </row>
    <row r="381" spans="1:6" x14ac:dyDescent="0.25">
      <c r="A381" s="30"/>
      <c r="B381" s="2"/>
      <c r="C381" s="2"/>
      <c r="D381" s="30"/>
      <c r="E381" s="36"/>
      <c r="F381" s="50"/>
    </row>
    <row r="382" spans="1:6" x14ac:dyDescent="0.25">
      <c r="A382" s="31"/>
      <c r="B382" s="5"/>
      <c r="C382" s="5"/>
      <c r="D382" s="31"/>
      <c r="E382" s="37"/>
      <c r="F382" s="52"/>
    </row>
    <row r="383" spans="1:6" x14ac:dyDescent="0.25">
      <c r="A383" s="30"/>
      <c r="B383" s="2"/>
      <c r="C383" s="2"/>
      <c r="D383" s="30"/>
      <c r="E383" s="36"/>
      <c r="F383" s="50"/>
    </row>
    <row r="384" spans="1:6" x14ac:dyDescent="0.25">
      <c r="A384" s="30"/>
      <c r="B384" s="2"/>
      <c r="C384" s="2"/>
      <c r="D384" s="30"/>
      <c r="E384" s="36"/>
      <c r="F384" s="50"/>
    </row>
    <row r="385" spans="1:6" x14ac:dyDescent="0.25">
      <c r="A385" s="31"/>
      <c r="B385" s="5"/>
      <c r="C385" s="5"/>
      <c r="D385" s="31"/>
      <c r="E385" s="37"/>
      <c r="F385" s="52"/>
    </row>
    <row r="386" spans="1:6" x14ac:dyDescent="0.25">
      <c r="A386" s="30"/>
      <c r="B386" s="2"/>
      <c r="C386" s="2"/>
      <c r="D386" s="30"/>
      <c r="E386" s="36"/>
      <c r="F386" s="50"/>
    </row>
    <row r="387" spans="1:6" x14ac:dyDescent="0.25">
      <c r="A387" s="30"/>
      <c r="B387" s="2"/>
      <c r="C387" s="2"/>
      <c r="D387" s="30"/>
      <c r="E387" s="36"/>
      <c r="F387" s="50"/>
    </row>
    <row r="388" spans="1:6" x14ac:dyDescent="0.25">
      <c r="A388" s="31"/>
      <c r="B388" s="5"/>
      <c r="C388" s="5"/>
      <c r="D388" s="31"/>
      <c r="E388" s="37"/>
      <c r="F388" s="52"/>
    </row>
    <row r="389" spans="1:6" x14ac:dyDescent="0.25">
      <c r="A389" s="30"/>
      <c r="B389" s="2"/>
      <c r="C389" s="2"/>
      <c r="D389" s="30"/>
      <c r="E389" s="36"/>
      <c r="F389" s="50"/>
    </row>
    <row r="390" spans="1:6" x14ac:dyDescent="0.25">
      <c r="A390" s="30"/>
      <c r="B390" s="2"/>
      <c r="C390" s="2"/>
      <c r="D390" s="30"/>
      <c r="E390" s="36"/>
      <c r="F390" s="50"/>
    </row>
    <row r="391" spans="1:6" x14ac:dyDescent="0.25">
      <c r="A391" s="31"/>
      <c r="B391" s="5"/>
      <c r="C391" s="5"/>
      <c r="D391" s="31"/>
      <c r="E391" s="37"/>
      <c r="F391" s="52"/>
    </row>
    <row r="392" spans="1:6" x14ac:dyDescent="0.25">
      <c r="A392" s="30"/>
      <c r="B392" s="2"/>
      <c r="C392" s="2"/>
      <c r="D392" s="30"/>
      <c r="E392" s="36"/>
      <c r="F392" s="50"/>
    </row>
    <row r="393" spans="1:6" x14ac:dyDescent="0.25">
      <c r="A393" s="30"/>
      <c r="B393" s="2"/>
      <c r="C393" s="2"/>
      <c r="D393" s="30"/>
      <c r="E393" s="36"/>
      <c r="F393" s="50"/>
    </row>
    <row r="394" spans="1:6" x14ac:dyDescent="0.25">
      <c r="A394" s="31"/>
      <c r="B394" s="5"/>
      <c r="C394" s="5"/>
      <c r="D394" s="31"/>
      <c r="E394" s="37"/>
      <c r="F394" s="52"/>
    </row>
    <row r="395" spans="1:6" x14ac:dyDescent="0.25">
      <c r="A395" s="30"/>
      <c r="B395" s="2"/>
      <c r="C395" s="2"/>
      <c r="D395" s="30"/>
      <c r="E395" s="36"/>
      <c r="F395" s="50"/>
    </row>
    <row r="396" spans="1:6" x14ac:dyDescent="0.25">
      <c r="A396" s="30"/>
      <c r="B396" s="2"/>
      <c r="C396" s="2"/>
      <c r="D396" s="30"/>
      <c r="E396" s="36"/>
      <c r="F396" s="50"/>
    </row>
    <row r="397" spans="1:6" x14ac:dyDescent="0.25">
      <c r="A397" s="31"/>
      <c r="B397" s="5"/>
      <c r="C397" s="5"/>
      <c r="D397" s="31"/>
      <c r="E397" s="37"/>
      <c r="F397" s="52"/>
    </row>
    <row r="398" spans="1:6" x14ac:dyDescent="0.25">
      <c r="A398" s="30"/>
      <c r="B398" s="2"/>
      <c r="C398" s="2"/>
      <c r="D398" s="30"/>
      <c r="E398" s="36"/>
      <c r="F398" s="50"/>
    </row>
    <row r="399" spans="1:6" x14ac:dyDescent="0.25">
      <c r="A399" s="30"/>
      <c r="B399" s="2"/>
      <c r="C399" s="2"/>
      <c r="D399" s="30"/>
      <c r="E399" s="36"/>
      <c r="F399" s="50"/>
    </row>
    <row r="400" spans="1:6" x14ac:dyDescent="0.25">
      <c r="A400" s="31"/>
      <c r="B400" s="5"/>
      <c r="C400" s="5"/>
      <c r="D400" s="31"/>
      <c r="E400" s="37"/>
      <c r="F400" s="52"/>
    </row>
    <row r="401" spans="1:6" x14ac:dyDescent="0.25">
      <c r="A401" s="30"/>
      <c r="B401" s="2"/>
      <c r="C401" s="2"/>
      <c r="D401" s="30"/>
      <c r="E401" s="36"/>
      <c r="F401" s="50"/>
    </row>
    <row r="402" spans="1:6" x14ac:dyDescent="0.25">
      <c r="A402" s="30"/>
      <c r="B402" s="2"/>
      <c r="C402" s="2"/>
      <c r="D402" s="30"/>
      <c r="E402" s="36"/>
      <c r="F402" s="50"/>
    </row>
    <row r="403" spans="1:6" x14ac:dyDescent="0.25">
      <c r="A403" s="31"/>
      <c r="B403" s="5"/>
      <c r="C403" s="5"/>
      <c r="D403" s="31"/>
      <c r="E403" s="37"/>
      <c r="F403" s="52"/>
    </row>
    <row r="404" spans="1:6" x14ac:dyDescent="0.25">
      <c r="A404" s="30"/>
      <c r="B404" s="2"/>
      <c r="C404" s="2"/>
      <c r="D404" s="30"/>
      <c r="E404" s="36"/>
      <c r="F404" s="50"/>
    </row>
    <row r="405" spans="1:6" x14ac:dyDescent="0.25">
      <c r="A405" s="30"/>
      <c r="B405" s="2"/>
      <c r="C405" s="2"/>
      <c r="D405" s="30"/>
      <c r="E405" s="36"/>
      <c r="F405" s="50"/>
    </row>
    <row r="406" spans="1:6" x14ac:dyDescent="0.25">
      <c r="A406" s="31"/>
      <c r="B406" s="5"/>
      <c r="C406" s="5"/>
      <c r="D406" s="31"/>
      <c r="E406" s="37"/>
      <c r="F406" s="52"/>
    </row>
    <row r="407" spans="1:6" x14ac:dyDescent="0.25">
      <c r="A407" s="30"/>
      <c r="B407" s="2"/>
      <c r="C407" s="2"/>
      <c r="D407" s="30"/>
      <c r="E407" s="36"/>
      <c r="F407" s="50"/>
    </row>
    <row r="408" spans="1:6" x14ac:dyDescent="0.25">
      <c r="A408" s="30"/>
      <c r="B408" s="2"/>
      <c r="C408" s="2"/>
      <c r="D408" s="30"/>
      <c r="E408" s="36"/>
      <c r="F408" s="50"/>
    </row>
    <row r="409" spans="1:6" x14ac:dyDescent="0.25">
      <c r="A409" s="31"/>
      <c r="B409" s="5"/>
      <c r="C409" s="5"/>
      <c r="D409" s="31"/>
      <c r="E409" s="37"/>
      <c r="F409" s="52"/>
    </row>
    <row r="410" spans="1:6" x14ac:dyDescent="0.25">
      <c r="A410" s="30"/>
      <c r="B410" s="2"/>
      <c r="C410" s="2"/>
      <c r="D410" s="30"/>
      <c r="E410" s="36"/>
      <c r="F410" s="50"/>
    </row>
    <row r="411" spans="1:6" x14ac:dyDescent="0.25">
      <c r="A411" s="30"/>
      <c r="B411" s="2"/>
      <c r="C411" s="2"/>
      <c r="D411" s="30"/>
      <c r="E411" s="36"/>
      <c r="F411" s="50"/>
    </row>
    <row r="412" spans="1:6" x14ac:dyDescent="0.25">
      <c r="A412" s="31"/>
      <c r="B412" s="5"/>
      <c r="C412" s="5"/>
      <c r="D412" s="31"/>
      <c r="E412" s="37"/>
      <c r="F412" s="52"/>
    </row>
    <row r="413" spans="1:6" x14ac:dyDescent="0.25">
      <c r="A413" s="30"/>
      <c r="B413" s="2"/>
      <c r="C413" s="2"/>
      <c r="D413" s="30"/>
      <c r="E413" s="36"/>
      <c r="F413" s="50"/>
    </row>
    <row r="414" spans="1:6" x14ac:dyDescent="0.25">
      <c r="A414" s="30"/>
      <c r="B414" s="2"/>
      <c r="C414" s="2"/>
      <c r="D414" s="30"/>
      <c r="E414" s="36"/>
      <c r="F414" s="50"/>
    </row>
    <row r="415" spans="1:6" x14ac:dyDescent="0.25">
      <c r="A415" s="31"/>
      <c r="B415" s="5"/>
      <c r="C415" s="5"/>
      <c r="D415" s="31"/>
      <c r="E415" s="37"/>
      <c r="F415" s="52"/>
    </row>
    <row r="416" spans="1:6" x14ac:dyDescent="0.25">
      <c r="A416" s="30"/>
      <c r="B416" s="2"/>
      <c r="C416" s="2"/>
      <c r="D416" s="30"/>
      <c r="E416" s="36"/>
      <c r="F416" s="50"/>
    </row>
    <row r="417" spans="1:6" x14ac:dyDescent="0.25">
      <c r="A417" s="30"/>
      <c r="B417" s="2"/>
      <c r="C417" s="2"/>
      <c r="D417" s="30"/>
      <c r="E417" s="36"/>
      <c r="F417" s="50"/>
    </row>
    <row r="418" spans="1:6" x14ac:dyDescent="0.25">
      <c r="A418" s="31"/>
      <c r="B418" s="5"/>
      <c r="C418" s="5"/>
      <c r="D418" s="31"/>
      <c r="E418" s="37"/>
      <c r="F418" s="52"/>
    </row>
    <row r="419" spans="1:6" x14ac:dyDescent="0.25">
      <c r="A419" s="30"/>
      <c r="B419" s="2"/>
      <c r="C419" s="2"/>
      <c r="D419" s="30"/>
      <c r="E419" s="36"/>
      <c r="F419" s="50"/>
    </row>
    <row r="420" spans="1:6" x14ac:dyDescent="0.25">
      <c r="A420" s="31"/>
      <c r="B420" s="5"/>
      <c r="C420" s="5"/>
      <c r="D420" s="31"/>
      <c r="E420" s="37"/>
      <c r="F420" s="52"/>
    </row>
    <row r="421" spans="1:6" x14ac:dyDescent="0.25">
      <c r="A421" s="30"/>
      <c r="B421" s="2"/>
      <c r="C421" s="2"/>
      <c r="D421" s="30"/>
      <c r="E421" s="36"/>
      <c r="F421" s="50"/>
    </row>
    <row r="422" spans="1:6" x14ac:dyDescent="0.25">
      <c r="A422" s="31"/>
      <c r="B422" s="5"/>
      <c r="C422" s="5"/>
      <c r="D422" s="31"/>
      <c r="E422" s="37"/>
      <c r="F422" s="52"/>
    </row>
    <row r="423" spans="1:6" x14ac:dyDescent="0.25">
      <c r="A423" s="30"/>
      <c r="B423" s="2"/>
      <c r="C423" s="2"/>
      <c r="D423" s="30"/>
      <c r="E423" s="36"/>
      <c r="F423" s="50"/>
    </row>
    <row r="424" spans="1:6" x14ac:dyDescent="0.25">
      <c r="A424" s="31"/>
      <c r="B424" s="5"/>
      <c r="C424" s="5"/>
      <c r="D424" s="31"/>
      <c r="E424" s="37"/>
      <c r="F424" s="52"/>
    </row>
    <row r="425" spans="1:6" x14ac:dyDescent="0.25">
      <c r="A425" s="30"/>
      <c r="B425" s="2"/>
      <c r="C425" s="2"/>
      <c r="D425" s="30"/>
      <c r="E425" s="36"/>
      <c r="F425" s="50"/>
    </row>
    <row r="426" spans="1:6" x14ac:dyDescent="0.25">
      <c r="A426" s="31"/>
      <c r="B426" s="5"/>
      <c r="C426" s="5"/>
      <c r="D426" s="31"/>
      <c r="E426" s="37"/>
      <c r="F426" s="52"/>
    </row>
  </sheetData>
  <sheetProtection sheet="1" objects="1" scenarios="1"/>
  <mergeCells count="1">
    <mergeCell ref="I1:L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>
        <f>'overzicht reizen'!B2</f>
        <v>0</v>
      </c>
      <c r="C2" s="28">
        <f>'overzicht reizen'!C2</f>
        <v>0</v>
      </c>
      <c r="D2" s="128">
        <f>'overzicht reizen'!D2</f>
        <v>0</v>
      </c>
      <c r="E2" s="128">
        <f>'overzicht reizen'!E2</f>
        <v>0</v>
      </c>
      <c r="F2" s="44">
        <f>'overzicht reizen'!F2</f>
        <v>0</v>
      </c>
    </row>
    <row r="3" spans="2:18" x14ac:dyDescent="0.25">
      <c r="B3" s="40">
        <f>'overzicht reizen'!B3</f>
        <v>0</v>
      </c>
      <c r="C3" s="28">
        <f>'overzicht reizen'!C3</f>
        <v>0</v>
      </c>
      <c r="D3" s="128">
        <f>'overzicht reizen'!D3</f>
        <v>0</v>
      </c>
      <c r="E3" s="128">
        <f>'overzicht reizen'!E3</f>
        <v>0</v>
      </c>
      <c r="F3" s="44">
        <f>'overzicht reizen'!F3</f>
        <v>0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9.140625" style="3"/>
    <col min="13" max="13" width="15.5703125" style="76" bestFit="1" customWidth="1"/>
    <col min="14" max="15" width="15.5703125" style="84" bestFit="1" customWidth="1"/>
    <col min="16" max="17" width="15.5703125" style="76" bestFit="1" customWidth="1"/>
    <col min="18" max="18" width="15.5703125" style="3" bestFit="1" customWidth="1"/>
    <col min="19" max="16384" width="9.140625" style="3"/>
  </cols>
  <sheetData>
    <row r="1" spans="1:26" x14ac:dyDescent="0.25">
      <c r="B1" s="7" t="s">
        <v>0</v>
      </c>
      <c r="C1" s="7"/>
      <c r="D1" s="7"/>
      <c r="E1" s="7"/>
      <c r="F1" s="7"/>
      <c r="G1" s="5"/>
      <c r="H1" s="5"/>
      <c r="I1" s="132" t="s">
        <v>196</v>
      </c>
      <c r="J1" s="132"/>
      <c r="K1" s="132"/>
      <c r="L1" s="132"/>
      <c r="M1" s="73" t="s">
        <v>164</v>
      </c>
      <c r="N1" s="14" t="s">
        <v>265</v>
      </c>
      <c r="O1" s="14"/>
      <c r="P1" s="73"/>
      <c r="Q1" s="73"/>
      <c r="R1" s="5"/>
      <c r="S1" s="5"/>
      <c r="T1" s="5"/>
      <c r="U1" s="5"/>
      <c r="V1" s="5"/>
      <c r="W1" s="5"/>
      <c r="X1" s="5"/>
      <c r="Y1" s="5"/>
      <c r="Z1" s="5"/>
    </row>
    <row r="2" spans="1:26" ht="15.75" thickBot="1" x14ac:dyDescent="0.3"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5"/>
      <c r="H2" s="5"/>
      <c r="I2" s="132"/>
      <c r="J2" s="132"/>
      <c r="K2" s="132"/>
      <c r="L2" s="132"/>
      <c r="M2" s="73" t="s">
        <v>165</v>
      </c>
      <c r="N2" s="14" t="s">
        <v>266</v>
      </c>
      <c r="O2" s="14"/>
      <c r="P2" s="73"/>
      <c r="Q2" s="73"/>
      <c r="R2" s="5"/>
      <c r="S2" s="5"/>
      <c r="T2" s="5"/>
      <c r="U2" s="5"/>
      <c r="V2" s="5"/>
      <c r="W2" s="5"/>
      <c r="X2" s="5"/>
      <c r="Y2" s="5"/>
      <c r="Z2" s="5"/>
    </row>
    <row r="3" spans="1:26" ht="15.75" thickBot="1" x14ac:dyDescent="0.3">
      <c r="A3" s="105">
        <v>2281</v>
      </c>
      <c r="B3" s="108" t="s">
        <v>196</v>
      </c>
      <c r="C3" s="108" t="s">
        <v>197</v>
      </c>
      <c r="D3" s="108">
        <v>294.10000610351562</v>
      </c>
      <c r="E3" s="108">
        <v>130</v>
      </c>
      <c r="F3" s="109">
        <v>42368.583333333336</v>
      </c>
      <c r="G3" s="5"/>
      <c r="H3" s="5"/>
      <c r="I3" s="5"/>
      <c r="J3" s="5"/>
      <c r="K3" s="5"/>
      <c r="L3" s="5"/>
      <c r="M3" s="73"/>
      <c r="N3" s="14"/>
      <c r="O3" s="14"/>
      <c r="P3" s="73"/>
      <c r="Q3" s="73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>
        <v>2185</v>
      </c>
      <c r="B4" s="5" t="s">
        <v>198</v>
      </c>
      <c r="C4" s="5" t="s">
        <v>197</v>
      </c>
      <c r="D4" s="5">
        <v>300.10000610351562</v>
      </c>
      <c r="E4" s="5">
        <v>140</v>
      </c>
      <c r="F4" s="6">
        <v>42367.916666666664</v>
      </c>
      <c r="G4" s="5"/>
      <c r="H4" s="5"/>
      <c r="I4" s="5"/>
      <c r="J4" s="5"/>
      <c r="K4" s="5"/>
      <c r="L4" s="5"/>
      <c r="M4" s="73"/>
      <c r="N4" s="14"/>
      <c r="O4" s="14"/>
      <c r="P4" s="73"/>
      <c r="Q4" s="73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/>
      <c r="B5" s="2"/>
      <c r="C5" s="2"/>
      <c r="D5" s="2"/>
      <c r="E5" s="2"/>
      <c r="F5" s="60"/>
      <c r="G5" s="5"/>
      <c r="H5" s="5"/>
      <c r="I5" s="5"/>
      <c r="J5" s="5"/>
      <c r="K5" s="5"/>
      <c r="L5" s="5"/>
      <c r="M5" s="73"/>
      <c r="N5" s="14"/>
      <c r="O5" s="14"/>
      <c r="P5" s="73"/>
      <c r="Q5" s="73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/>
      <c r="B6" s="5"/>
      <c r="C6" s="5"/>
      <c r="D6" s="5"/>
      <c r="E6" s="5"/>
      <c r="F6" s="6"/>
      <c r="G6" s="5"/>
      <c r="H6" s="5"/>
      <c r="I6" s="5"/>
      <c r="J6" s="5"/>
      <c r="K6" s="5"/>
      <c r="L6" s="5"/>
      <c r="M6" s="73"/>
      <c r="N6" s="14"/>
      <c r="O6" s="14"/>
      <c r="P6" s="73"/>
      <c r="Q6" s="73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/>
      <c r="B7" s="2"/>
      <c r="C7" s="2"/>
      <c r="D7" s="2"/>
      <c r="E7" s="2"/>
      <c r="F7" s="60"/>
      <c r="G7" s="5"/>
      <c r="H7" s="5"/>
      <c r="I7" s="5"/>
      <c r="J7" s="5"/>
      <c r="K7" s="5"/>
      <c r="L7" s="5"/>
      <c r="M7" s="73"/>
      <c r="N7" s="14"/>
      <c r="O7" s="14"/>
      <c r="P7" s="73"/>
      <c r="Q7" s="73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/>
      <c r="B8" s="5"/>
      <c r="C8" s="5"/>
      <c r="D8" s="5"/>
      <c r="E8" s="5"/>
      <c r="F8" s="6"/>
      <c r="G8" s="5"/>
      <c r="H8" s="5"/>
      <c r="I8" s="5"/>
      <c r="J8" s="5"/>
      <c r="K8" s="5"/>
      <c r="L8" s="5"/>
      <c r="M8" s="73"/>
      <c r="N8" s="14"/>
      <c r="O8" s="14"/>
      <c r="P8" s="73"/>
      <c r="Q8" s="73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2"/>
      <c r="C9" s="2"/>
      <c r="D9" s="2"/>
      <c r="E9" s="2"/>
      <c r="F9" s="60"/>
      <c r="G9" s="5"/>
      <c r="H9" s="5"/>
      <c r="I9" s="5"/>
      <c r="J9" s="5"/>
      <c r="K9" s="5"/>
      <c r="L9" s="5"/>
      <c r="M9" s="73"/>
      <c r="N9" s="14"/>
      <c r="O9" s="14"/>
      <c r="P9" s="73"/>
      <c r="Q9" s="73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5"/>
      <c r="C10" s="5"/>
      <c r="D10" s="5"/>
      <c r="E10" s="5"/>
      <c r="F10" s="6"/>
      <c r="G10" s="5"/>
      <c r="H10" s="5"/>
      <c r="I10" s="5"/>
      <c r="J10" s="5"/>
      <c r="K10" s="5"/>
      <c r="L10" s="5"/>
      <c r="M10" s="73"/>
      <c r="N10" s="14"/>
      <c r="O10" s="14"/>
      <c r="P10" s="73"/>
      <c r="Q10" s="73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2"/>
      <c r="C11" s="2"/>
      <c r="D11" s="2"/>
      <c r="E11" s="2"/>
      <c r="F11" s="60"/>
      <c r="G11" s="5"/>
      <c r="H11" s="5"/>
      <c r="I11" s="5"/>
      <c r="J11" s="5"/>
      <c r="K11" s="5"/>
      <c r="L11" s="5"/>
      <c r="M11" s="73"/>
      <c r="N11" s="14"/>
      <c r="O11" s="14"/>
      <c r="P11" s="73"/>
      <c r="Q11" s="73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5"/>
      <c r="C12" s="5"/>
      <c r="D12" s="5"/>
      <c r="E12" s="5"/>
      <c r="F12" s="6"/>
      <c r="G12" s="5"/>
      <c r="H12" s="5"/>
      <c r="I12" s="5"/>
      <c r="J12" s="5"/>
      <c r="K12" s="5"/>
      <c r="L12" s="5"/>
      <c r="M12" s="73"/>
      <c r="N12" s="14"/>
      <c r="O12" s="14"/>
      <c r="P12" s="73"/>
      <c r="Q12" s="73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2"/>
      <c r="C13" s="2"/>
      <c r="D13" s="2"/>
      <c r="E13" s="2"/>
      <c r="F13" s="60"/>
      <c r="G13" s="5"/>
      <c r="H13" s="5"/>
      <c r="I13" s="5"/>
      <c r="J13" s="5"/>
      <c r="K13" s="5"/>
      <c r="L13" s="5"/>
      <c r="M13" s="73"/>
      <c r="N13" s="14"/>
      <c r="O13" s="14"/>
      <c r="P13" s="73"/>
      <c r="Q13" s="73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5"/>
      <c r="C14" s="5"/>
      <c r="D14" s="5"/>
      <c r="E14" s="5"/>
      <c r="F14" s="6"/>
      <c r="G14" s="5"/>
      <c r="H14" s="5"/>
      <c r="I14" s="5"/>
      <c r="J14" s="5"/>
      <c r="K14" s="5"/>
      <c r="L14" s="5"/>
      <c r="M14" s="73"/>
      <c r="N14" s="14"/>
      <c r="O14" s="14"/>
      <c r="P14" s="73"/>
      <c r="Q14" s="73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2"/>
      <c r="C15" s="2"/>
      <c r="D15" s="2"/>
      <c r="E15" s="2"/>
      <c r="F15" s="60"/>
      <c r="G15" s="5"/>
      <c r="H15" s="5"/>
      <c r="I15" s="5"/>
      <c r="J15" s="5"/>
      <c r="K15" s="5"/>
      <c r="L15" s="5"/>
      <c r="M15" s="73"/>
      <c r="N15" s="14"/>
      <c r="O15" s="14"/>
      <c r="P15" s="73"/>
      <c r="Q15" s="73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5"/>
      <c r="C16" s="5"/>
      <c r="D16" s="5"/>
      <c r="E16" s="5"/>
      <c r="F16" s="6"/>
      <c r="G16" s="5"/>
      <c r="H16" s="5"/>
      <c r="I16" s="5"/>
      <c r="J16" s="5"/>
      <c r="K16" s="5"/>
      <c r="L16" s="5"/>
      <c r="M16" s="73"/>
      <c r="N16" s="14"/>
      <c r="O16" s="14"/>
      <c r="P16" s="73"/>
      <c r="Q16" s="73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2"/>
      <c r="E17" s="2"/>
      <c r="F17" s="60"/>
      <c r="G17" s="5"/>
      <c r="H17" s="5"/>
      <c r="I17" s="5"/>
      <c r="J17" s="5"/>
      <c r="K17" s="5"/>
      <c r="L17" s="5"/>
      <c r="M17" s="73"/>
      <c r="N17" s="14"/>
      <c r="O17" s="14"/>
      <c r="P17" s="73"/>
      <c r="Q17" s="73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5"/>
      <c r="E18" s="5"/>
      <c r="F18" s="6"/>
      <c r="G18" s="5"/>
      <c r="H18" s="5"/>
      <c r="I18" s="5"/>
      <c r="J18" s="5"/>
      <c r="K18" s="5"/>
      <c r="L18" s="5"/>
      <c r="M18" s="73"/>
      <c r="N18" s="14"/>
      <c r="O18" s="14"/>
      <c r="P18" s="73"/>
      <c r="Q18" s="73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2"/>
      <c r="E19" s="2"/>
      <c r="F19" s="60"/>
      <c r="G19" s="5"/>
      <c r="H19" s="5"/>
      <c r="I19" s="5"/>
      <c r="J19" s="5"/>
      <c r="K19" s="5"/>
      <c r="L19" s="5"/>
      <c r="M19" s="73"/>
      <c r="N19" s="14"/>
      <c r="O19" s="14"/>
      <c r="P19" s="73"/>
      <c r="Q19" s="73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5"/>
      <c r="E20" s="5"/>
      <c r="F20" s="6"/>
      <c r="G20" s="5"/>
      <c r="H20" s="5"/>
      <c r="I20" s="5"/>
      <c r="J20" s="5"/>
      <c r="K20" s="5"/>
      <c r="L20" s="5"/>
      <c r="M20" s="73"/>
      <c r="N20" s="14"/>
      <c r="O20" s="14"/>
      <c r="P20" s="73"/>
      <c r="Q20" s="73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2"/>
      <c r="E21" s="2"/>
      <c r="F21" s="60"/>
      <c r="G21" s="5"/>
      <c r="H21" s="5"/>
      <c r="I21" s="5"/>
      <c r="J21" s="5"/>
      <c r="K21" s="5"/>
      <c r="L21" s="5"/>
      <c r="M21" s="73"/>
      <c r="N21" s="14"/>
      <c r="O21" s="14"/>
      <c r="P21" s="73"/>
      <c r="Q21" s="73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5"/>
      <c r="E22" s="5"/>
      <c r="F22" s="6"/>
      <c r="G22" s="5"/>
      <c r="H22" s="5"/>
      <c r="I22" s="5"/>
      <c r="J22" s="5"/>
      <c r="K22" s="5"/>
      <c r="L22" s="5"/>
      <c r="M22" s="73"/>
      <c r="N22" s="14"/>
      <c r="O22" s="14"/>
      <c r="P22" s="73"/>
      <c r="Q22" s="73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2"/>
      <c r="E23" s="2"/>
      <c r="F23" s="60"/>
      <c r="G23" s="5"/>
      <c r="H23" s="5"/>
      <c r="I23" s="5"/>
      <c r="J23" s="5"/>
      <c r="K23" s="5"/>
      <c r="L23" s="5"/>
      <c r="M23" s="73"/>
      <c r="N23" s="14"/>
      <c r="O23" s="14"/>
      <c r="P23" s="73"/>
      <c r="Q23" s="73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5"/>
      <c r="E24" s="5"/>
      <c r="F24" s="6"/>
      <c r="G24" s="5"/>
      <c r="H24" s="5"/>
      <c r="I24" s="5"/>
      <c r="J24" s="5"/>
      <c r="K24" s="5"/>
      <c r="L24" s="5"/>
      <c r="M24" s="73"/>
      <c r="N24" s="14"/>
      <c r="O24" s="14"/>
      <c r="P24" s="73"/>
      <c r="Q24" s="73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2"/>
      <c r="E25" s="2"/>
      <c r="F25" s="60"/>
      <c r="G25" s="5"/>
      <c r="H25" s="5"/>
      <c r="I25" s="5"/>
      <c r="J25" s="5"/>
      <c r="K25" s="5"/>
      <c r="L25" s="5"/>
      <c r="M25" s="73"/>
      <c r="N25" s="14"/>
      <c r="O25" s="14"/>
      <c r="P25" s="73"/>
      <c r="Q25" s="73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5"/>
      <c r="E26" s="5"/>
      <c r="F26" s="6"/>
      <c r="G26" s="5"/>
      <c r="H26" s="5"/>
      <c r="I26" s="5"/>
      <c r="J26" s="5"/>
      <c r="K26" s="5"/>
      <c r="L26" s="5"/>
      <c r="M26" s="73"/>
      <c r="N26" s="14"/>
      <c r="O26" s="14"/>
      <c r="P26" s="73"/>
      <c r="Q26" s="73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2"/>
      <c r="E27" s="2"/>
      <c r="F27" s="60"/>
      <c r="G27" s="5"/>
      <c r="H27" s="5"/>
      <c r="I27" s="5"/>
      <c r="J27" s="5"/>
      <c r="K27" s="5"/>
      <c r="L27" s="5"/>
      <c r="M27" s="73"/>
      <c r="N27" s="14"/>
      <c r="O27" s="14"/>
      <c r="P27" s="73"/>
      <c r="Q27" s="73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5"/>
      <c r="E28" s="5"/>
      <c r="F28" s="6"/>
      <c r="G28" s="5"/>
      <c r="H28" s="5"/>
      <c r="I28" s="5"/>
      <c r="J28" s="5"/>
      <c r="K28" s="5"/>
      <c r="L28" s="5"/>
      <c r="M28" s="73"/>
      <c r="N28" s="14"/>
      <c r="O28" s="14"/>
      <c r="P28" s="73"/>
      <c r="Q28" s="73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2"/>
      <c r="E29" s="2"/>
      <c r="F29" s="67"/>
      <c r="G29" s="5"/>
      <c r="H29" s="5"/>
      <c r="I29" s="5"/>
      <c r="J29" s="5"/>
      <c r="K29" s="5"/>
      <c r="L29" s="5"/>
      <c r="M29" s="73"/>
      <c r="N29" s="14"/>
      <c r="O29" s="14"/>
      <c r="P29" s="73"/>
      <c r="Q29" s="73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5"/>
      <c r="E30" s="5"/>
      <c r="F30" s="68"/>
      <c r="G30" s="5"/>
      <c r="H30" s="5"/>
      <c r="I30" s="5"/>
      <c r="J30" s="5"/>
      <c r="K30" s="5"/>
      <c r="L30" s="5"/>
      <c r="M30" s="73"/>
      <c r="N30" s="14"/>
      <c r="O30" s="14"/>
      <c r="P30" s="73"/>
      <c r="Q30" s="73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2"/>
      <c r="E31" s="2"/>
      <c r="F31" s="67"/>
      <c r="G31" s="5"/>
      <c r="H31" s="5"/>
      <c r="I31" s="5"/>
      <c r="J31" s="5"/>
      <c r="K31" s="5"/>
      <c r="L31" s="5"/>
      <c r="M31" s="73"/>
      <c r="N31" s="14"/>
      <c r="O31" s="14"/>
      <c r="P31" s="73"/>
      <c r="Q31" s="73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5"/>
      <c r="E32" s="5"/>
      <c r="F32" s="68"/>
      <c r="G32" s="5"/>
      <c r="H32" s="5"/>
      <c r="I32" s="5"/>
      <c r="J32" s="5"/>
      <c r="K32" s="5"/>
      <c r="L32" s="5"/>
      <c r="M32" s="73"/>
      <c r="N32" s="14"/>
      <c r="O32" s="14"/>
      <c r="P32" s="73"/>
      <c r="Q32" s="73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2"/>
      <c r="E33" s="2"/>
      <c r="F33" s="67"/>
      <c r="G33" s="5"/>
      <c r="H33" s="5"/>
      <c r="I33" s="5"/>
      <c r="J33" s="5"/>
      <c r="K33" s="5"/>
      <c r="L33" s="5"/>
      <c r="M33" s="73"/>
      <c r="N33" s="14"/>
      <c r="O33" s="14"/>
      <c r="P33" s="73"/>
      <c r="Q33" s="73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5"/>
      <c r="E34" s="5"/>
      <c r="F34" s="68"/>
      <c r="G34" s="5"/>
      <c r="H34" s="5"/>
      <c r="I34" s="5"/>
      <c r="J34" s="5"/>
      <c r="K34" s="5"/>
      <c r="L34" s="5"/>
      <c r="M34" s="73"/>
      <c r="N34" s="14"/>
      <c r="O34" s="14"/>
      <c r="P34" s="73"/>
      <c r="Q34" s="73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2"/>
      <c r="E35" s="2"/>
      <c r="F35" s="67"/>
      <c r="G35" s="5"/>
      <c r="H35" s="5"/>
      <c r="I35" s="5"/>
      <c r="J35" s="71" t="s">
        <v>217</v>
      </c>
      <c r="K35" s="72"/>
      <c r="L35" s="71"/>
      <c r="M35" s="74"/>
      <c r="N35" s="14"/>
      <c r="O35" s="14"/>
      <c r="P35" s="73"/>
      <c r="Q35" s="73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5"/>
      <c r="E36" s="5"/>
      <c r="F36" s="68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5" t="s">
        <v>170</v>
      </c>
      <c r="N36" s="69" t="s">
        <v>171</v>
      </c>
      <c r="O36" s="69" t="s">
        <v>172</v>
      </c>
      <c r="P36" s="75" t="s">
        <v>172</v>
      </c>
      <c r="Q36" s="75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5.75" thickBot="1" x14ac:dyDescent="0.3">
      <c r="A37" s="30"/>
      <c r="B37" s="2"/>
      <c r="C37" s="2"/>
      <c r="D37" s="2"/>
      <c r="E37" s="2"/>
      <c r="F37" s="67"/>
      <c r="G37" s="5"/>
      <c r="H37" s="5"/>
      <c r="I37" s="5" t="s">
        <v>161</v>
      </c>
      <c r="J37" s="5">
        <v>145</v>
      </c>
      <c r="K37" s="5" t="s">
        <v>267</v>
      </c>
      <c r="L37" s="5" t="s">
        <v>9</v>
      </c>
      <c r="M37" s="73">
        <v>0</v>
      </c>
      <c r="N37" s="27"/>
      <c r="O37" s="27"/>
      <c r="P37" s="77"/>
      <c r="Q37" s="77"/>
      <c r="R37" s="6"/>
      <c r="S37" s="5"/>
      <c r="T37" s="5"/>
      <c r="U37" s="5"/>
      <c r="V37" s="5"/>
      <c r="W37" s="5"/>
      <c r="X37" s="5"/>
      <c r="Y37" s="5"/>
      <c r="Z37" s="5"/>
    </row>
    <row r="38" spans="1:26" ht="16.5" thickTop="1" thickBot="1" x14ac:dyDescent="0.3">
      <c r="A38" s="31"/>
      <c r="B38" s="5"/>
      <c r="C38" s="5"/>
      <c r="D38" s="5"/>
      <c r="E38" s="5"/>
      <c r="F38" s="68"/>
      <c r="G38" s="5"/>
      <c r="H38" s="5"/>
      <c r="I38" s="82" t="s">
        <v>188</v>
      </c>
      <c r="J38" s="78">
        <v>146</v>
      </c>
      <c r="K38" s="78" t="s">
        <v>268</v>
      </c>
      <c r="L38" s="78" t="s">
        <v>9</v>
      </c>
      <c r="M38" s="79" t="s">
        <v>269</v>
      </c>
      <c r="N38" s="83"/>
      <c r="O38" s="83"/>
      <c r="P38" s="85"/>
      <c r="Q38" s="85"/>
      <c r="R38" s="80">
        <v>42368.700694444444</v>
      </c>
      <c r="S38" s="81"/>
      <c r="T38" s="5"/>
      <c r="U38" s="5"/>
      <c r="V38" s="5"/>
      <c r="W38" s="5"/>
      <c r="X38" s="5"/>
      <c r="Y38" s="5"/>
      <c r="Z38" s="5"/>
    </row>
    <row r="39" spans="1:26" ht="15.75" thickTop="1" x14ac:dyDescent="0.25">
      <c r="A39" s="30"/>
      <c r="B39" s="2"/>
      <c r="C39" s="2"/>
      <c r="D39" s="2"/>
      <c r="E39" s="2"/>
      <c r="F39" s="67"/>
      <c r="G39" s="5"/>
      <c r="H39" s="5"/>
      <c r="I39" s="5" t="s">
        <v>9</v>
      </c>
      <c r="J39" s="5">
        <v>145</v>
      </c>
      <c r="K39" s="5" t="s">
        <v>268</v>
      </c>
      <c r="L39" s="5" t="s">
        <v>9</v>
      </c>
      <c r="M39" s="73" t="s">
        <v>270</v>
      </c>
      <c r="N39" s="27"/>
      <c r="O39" s="27"/>
      <c r="P39" s="77"/>
      <c r="Q39" s="77"/>
      <c r="R39" s="5"/>
      <c r="S39" s="5">
        <v>12.5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5"/>
      <c r="E40" s="5"/>
      <c r="F40" s="68"/>
      <c r="G40" s="5"/>
      <c r="H40" s="5"/>
      <c r="I40" s="5" t="s">
        <v>187</v>
      </c>
      <c r="J40" s="5">
        <v>145</v>
      </c>
      <c r="K40" s="5" t="s">
        <v>268</v>
      </c>
      <c r="L40" s="5" t="s">
        <v>9</v>
      </c>
      <c r="M40" s="73" t="s">
        <v>270</v>
      </c>
      <c r="N40" s="27"/>
      <c r="O40" s="27"/>
      <c r="P40" s="77"/>
      <c r="Q40" s="77"/>
      <c r="R40" s="5"/>
      <c r="S40" s="5">
        <v>12.5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2"/>
      <c r="E41" s="2"/>
      <c r="F41" s="67"/>
      <c r="G41" s="5"/>
      <c r="H41" s="5"/>
      <c r="I41" s="5" t="s">
        <v>186</v>
      </c>
      <c r="J41" s="5">
        <v>146</v>
      </c>
      <c r="K41" s="5" t="s">
        <v>268</v>
      </c>
      <c r="L41" s="5" t="s">
        <v>10</v>
      </c>
      <c r="M41" s="73" t="s">
        <v>269</v>
      </c>
      <c r="N41" s="27"/>
      <c r="O41" s="27"/>
      <c r="P41" s="77"/>
      <c r="Q41" s="77"/>
      <c r="R41" s="6"/>
      <c r="S41" s="5">
        <v>12.5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5"/>
      <c r="E42" s="5"/>
      <c r="F42" s="68"/>
      <c r="G42" s="5"/>
      <c r="H42" s="5"/>
      <c r="I42" s="5" t="s">
        <v>10</v>
      </c>
      <c r="J42" s="5">
        <v>144</v>
      </c>
      <c r="K42" s="5" t="s">
        <v>268</v>
      </c>
      <c r="L42" s="5" t="s">
        <v>10</v>
      </c>
      <c r="M42" s="73" t="s">
        <v>271</v>
      </c>
      <c r="N42" s="27"/>
      <c r="O42" s="27"/>
      <c r="P42" s="77"/>
      <c r="Q42" s="77"/>
      <c r="R42" s="5"/>
      <c r="S42" s="5">
        <v>12.5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2"/>
      <c r="E43" s="2"/>
      <c r="F43" s="67"/>
      <c r="G43" s="5"/>
      <c r="H43" s="5"/>
      <c r="I43" s="5" t="s">
        <v>185</v>
      </c>
      <c r="J43" s="5">
        <v>144</v>
      </c>
      <c r="K43" s="5" t="s">
        <v>268</v>
      </c>
      <c r="L43" s="5" t="s">
        <v>10</v>
      </c>
      <c r="M43" s="73" t="s">
        <v>271</v>
      </c>
      <c r="N43" s="27"/>
      <c r="O43" s="27"/>
      <c r="P43" s="77"/>
      <c r="Q43" s="77"/>
      <c r="R43" s="5"/>
      <c r="S43" s="5">
        <v>12.5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5"/>
      <c r="E44" s="5"/>
      <c r="F44" s="68"/>
      <c r="G44" s="5"/>
      <c r="H44" s="5"/>
      <c r="I44" s="5" t="s">
        <v>184</v>
      </c>
      <c r="J44" s="5">
        <v>146</v>
      </c>
      <c r="K44" s="5" t="s">
        <v>268</v>
      </c>
      <c r="L44" s="5" t="s">
        <v>10</v>
      </c>
      <c r="M44" s="73" t="s">
        <v>269</v>
      </c>
      <c r="N44" s="27"/>
      <c r="O44" s="27"/>
      <c r="P44" s="77"/>
      <c r="Q44" s="77"/>
      <c r="R44" s="5"/>
      <c r="S44" s="5">
        <v>12.5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2"/>
      <c r="E45" s="2"/>
      <c r="F45" s="67"/>
      <c r="G45" s="5"/>
      <c r="H45" s="5"/>
      <c r="I45" s="5" t="s">
        <v>11</v>
      </c>
      <c r="J45" s="5">
        <v>146</v>
      </c>
      <c r="K45" s="5" t="s">
        <v>268</v>
      </c>
      <c r="L45" s="5" t="s">
        <v>10</v>
      </c>
      <c r="M45" s="73" t="s">
        <v>269</v>
      </c>
      <c r="N45" s="27"/>
      <c r="O45" s="27"/>
      <c r="P45" s="77"/>
      <c r="Q45" s="77"/>
      <c r="R45" s="5"/>
      <c r="S45" s="5">
        <v>12.5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5"/>
      <c r="E46" s="5"/>
      <c r="F46" s="68"/>
      <c r="G46" s="5"/>
      <c r="H46" s="5"/>
      <c r="I46" s="5" t="s">
        <v>183</v>
      </c>
      <c r="J46" s="5">
        <v>147</v>
      </c>
      <c r="K46" s="5" t="s">
        <v>268</v>
      </c>
      <c r="L46" s="5" t="s">
        <v>8</v>
      </c>
      <c r="M46" s="73">
        <v>0</v>
      </c>
      <c r="N46" s="27"/>
      <c r="O46" s="27"/>
      <c r="P46" s="77"/>
      <c r="Q46" s="77"/>
      <c r="R46" s="5"/>
      <c r="S46" s="5">
        <v>12.5</v>
      </c>
      <c r="T46" s="5"/>
      <c r="U46" s="5"/>
      <c r="V46" s="5"/>
      <c r="W46" s="5"/>
      <c r="X46" s="5"/>
      <c r="Y46" s="5"/>
      <c r="Z46" s="5"/>
    </row>
    <row r="47" spans="1:26" ht="15.75" thickBot="1" x14ac:dyDescent="0.3">
      <c r="A47" s="30"/>
      <c r="B47" s="2"/>
      <c r="C47" s="2"/>
      <c r="D47" s="2"/>
      <c r="E47" s="2"/>
      <c r="F47" s="67"/>
      <c r="G47" s="5"/>
      <c r="H47" s="5"/>
      <c r="I47" s="5" t="s">
        <v>182</v>
      </c>
      <c r="J47" s="5">
        <v>146</v>
      </c>
      <c r="K47" s="5" t="s">
        <v>268</v>
      </c>
      <c r="L47" s="5" t="s">
        <v>8</v>
      </c>
      <c r="M47" s="73" t="s">
        <v>269</v>
      </c>
      <c r="N47" s="27"/>
      <c r="O47" s="27"/>
      <c r="P47" s="77"/>
      <c r="Q47" s="77"/>
      <c r="R47" s="5"/>
      <c r="S47" s="5">
        <v>12.5</v>
      </c>
      <c r="T47" s="5"/>
      <c r="U47" s="5"/>
      <c r="V47" s="5"/>
      <c r="W47" s="5"/>
      <c r="X47" s="5"/>
      <c r="Y47" s="5"/>
      <c r="Z47" s="5"/>
    </row>
    <row r="48" spans="1:26" ht="16.5" thickTop="1" thickBot="1" x14ac:dyDescent="0.3">
      <c r="A48" s="31"/>
      <c r="B48" s="5"/>
      <c r="C48" s="5"/>
      <c r="D48" s="5"/>
      <c r="E48" s="5"/>
      <c r="F48" s="68"/>
      <c r="G48" s="5"/>
      <c r="H48" s="5"/>
      <c r="I48" s="82" t="s">
        <v>8</v>
      </c>
      <c r="J48" s="78">
        <v>144</v>
      </c>
      <c r="K48" s="78" t="s">
        <v>268</v>
      </c>
      <c r="L48" s="78" t="s">
        <v>8</v>
      </c>
      <c r="M48" s="79" t="s">
        <v>271</v>
      </c>
      <c r="N48" s="83"/>
      <c r="O48" s="83"/>
      <c r="P48" s="85"/>
      <c r="Q48" s="85"/>
      <c r="R48" s="80">
        <v>42368.815972222219</v>
      </c>
      <c r="S48" s="81">
        <v>12.5</v>
      </c>
      <c r="T48" s="5"/>
      <c r="U48" s="5"/>
      <c r="V48" s="5"/>
      <c r="W48" s="5"/>
      <c r="X48" s="5"/>
      <c r="Y48" s="5"/>
      <c r="Z48" s="5"/>
    </row>
    <row r="49" spans="1:26" ht="15.75" thickTop="1" x14ac:dyDescent="0.25">
      <c r="A49" s="30"/>
      <c r="B49" s="2"/>
      <c r="C49" s="2"/>
      <c r="D49" s="2"/>
      <c r="E49" s="2"/>
      <c r="F49" s="67"/>
      <c r="G49" s="5"/>
      <c r="H49" s="5"/>
      <c r="I49" s="5" t="s">
        <v>181</v>
      </c>
      <c r="J49" s="5">
        <v>148</v>
      </c>
      <c r="K49" s="5" t="s">
        <v>272</v>
      </c>
      <c r="L49" s="5" t="s">
        <v>8</v>
      </c>
      <c r="M49" s="73" t="s">
        <v>273</v>
      </c>
      <c r="N49" s="27"/>
      <c r="O49" s="27"/>
      <c r="P49" s="77"/>
      <c r="Q49" s="77"/>
      <c r="R49" s="6"/>
      <c r="S49" s="5">
        <v>14.9</v>
      </c>
      <c r="T49" s="5"/>
      <c r="U49" s="5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5"/>
      <c r="E50" s="5"/>
      <c r="F50" s="68"/>
      <c r="G50" s="5"/>
      <c r="H50" s="5"/>
      <c r="I50" s="5" t="s">
        <v>180</v>
      </c>
      <c r="J50" s="5">
        <v>152</v>
      </c>
      <c r="K50" s="5" t="s">
        <v>272</v>
      </c>
      <c r="L50" s="5" t="s">
        <v>8</v>
      </c>
      <c r="M50" s="73">
        <v>0</v>
      </c>
      <c r="N50" s="27"/>
      <c r="O50" s="27"/>
      <c r="P50" s="77"/>
      <c r="Q50" s="77"/>
      <c r="R50" s="6"/>
      <c r="S50" s="5">
        <v>14.9</v>
      </c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2"/>
      <c r="E51" s="2"/>
      <c r="F51" s="67"/>
      <c r="G51" s="5"/>
      <c r="H51" s="5"/>
      <c r="I51" s="5" t="s">
        <v>179</v>
      </c>
      <c r="J51" s="5">
        <v>155</v>
      </c>
      <c r="K51" s="5" t="s">
        <v>272</v>
      </c>
      <c r="L51" s="5" t="s">
        <v>8</v>
      </c>
      <c r="M51" s="73">
        <v>0</v>
      </c>
      <c r="N51" s="27"/>
      <c r="O51" s="27"/>
      <c r="P51" s="77"/>
      <c r="Q51" s="77"/>
      <c r="R51" s="6"/>
      <c r="S51" s="5">
        <v>14.9</v>
      </c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5"/>
      <c r="E52" s="5"/>
      <c r="F52" s="68"/>
      <c r="G52" s="5"/>
      <c r="H52" s="5"/>
      <c r="I52" s="5" t="s">
        <v>178</v>
      </c>
      <c r="J52" s="5">
        <v>148</v>
      </c>
      <c r="K52" s="5" t="s">
        <v>272</v>
      </c>
      <c r="L52" s="5" t="s">
        <v>210</v>
      </c>
      <c r="M52" s="73" t="s">
        <v>273</v>
      </c>
      <c r="N52" s="27"/>
      <c r="O52" s="27"/>
      <c r="P52" s="77"/>
      <c r="Q52" s="77"/>
      <c r="R52" s="5"/>
      <c r="S52" s="5">
        <v>14.9</v>
      </c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2"/>
      <c r="E53" s="2"/>
      <c r="F53" s="67"/>
      <c r="G53" s="5"/>
      <c r="H53" s="5"/>
      <c r="I53" s="5" t="s">
        <v>177</v>
      </c>
      <c r="J53" s="5">
        <v>153</v>
      </c>
      <c r="K53" s="5" t="s">
        <v>272</v>
      </c>
      <c r="L53" s="5" t="s">
        <v>210</v>
      </c>
      <c r="M53" s="73">
        <v>0</v>
      </c>
      <c r="N53" s="27"/>
      <c r="O53" s="27"/>
      <c r="P53" s="77"/>
      <c r="Q53" s="77"/>
      <c r="R53" s="5"/>
      <c r="S53" s="5">
        <v>14.9</v>
      </c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5"/>
      <c r="E54" s="5"/>
      <c r="F54" s="68"/>
      <c r="G54" s="5"/>
      <c r="H54" s="5"/>
      <c r="I54" s="5" t="s">
        <v>176</v>
      </c>
      <c r="J54" s="5">
        <v>154</v>
      </c>
      <c r="K54" s="5" t="s">
        <v>272</v>
      </c>
      <c r="L54" s="5" t="s">
        <v>210</v>
      </c>
      <c r="M54" s="73">
        <v>0</v>
      </c>
      <c r="N54" s="27"/>
      <c r="O54" s="27"/>
      <c r="P54" s="77"/>
      <c r="Q54" s="77"/>
      <c r="R54" s="5"/>
      <c r="S54" s="5">
        <v>14.9</v>
      </c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2"/>
      <c r="E55" s="2"/>
      <c r="F55" s="67"/>
      <c r="G55" s="5"/>
      <c r="H55" s="5"/>
      <c r="I55" s="5" t="s">
        <v>175</v>
      </c>
      <c r="J55" s="5">
        <v>154</v>
      </c>
      <c r="K55" s="5" t="s">
        <v>272</v>
      </c>
      <c r="L55" s="5" t="s">
        <v>210</v>
      </c>
      <c r="M55" s="73">
        <v>0</v>
      </c>
      <c r="N55" s="27"/>
      <c r="O55" s="27"/>
      <c r="P55" s="77"/>
      <c r="Q55" s="77"/>
      <c r="R55" s="5"/>
      <c r="S55" s="5">
        <v>14.9</v>
      </c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5"/>
      <c r="E56" s="5"/>
      <c r="F56" s="68"/>
      <c r="G56" s="5"/>
      <c r="H56" s="5"/>
      <c r="I56" s="5" t="s">
        <v>174</v>
      </c>
      <c r="J56" s="5">
        <v>158</v>
      </c>
      <c r="K56" s="5" t="s">
        <v>272</v>
      </c>
      <c r="L56" s="5" t="s">
        <v>210</v>
      </c>
      <c r="M56" s="73">
        <v>0</v>
      </c>
      <c r="N56" s="27"/>
      <c r="O56" s="27"/>
      <c r="P56" s="77"/>
      <c r="Q56" s="77"/>
      <c r="R56" s="5"/>
      <c r="S56" s="5">
        <v>14.9</v>
      </c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2"/>
      <c r="E57" s="2"/>
      <c r="F57" s="67"/>
      <c r="G57" s="5"/>
      <c r="H57" s="5"/>
      <c r="I57" s="5" t="s">
        <v>173</v>
      </c>
      <c r="J57" s="5">
        <v>163</v>
      </c>
      <c r="K57" s="5" t="s">
        <v>272</v>
      </c>
      <c r="L57" s="5" t="s">
        <v>210</v>
      </c>
      <c r="M57" s="73">
        <v>0</v>
      </c>
      <c r="N57" s="27"/>
      <c r="O57" s="27"/>
      <c r="P57" s="77"/>
      <c r="Q57" s="77"/>
      <c r="R57" s="5"/>
      <c r="S57" s="5">
        <v>14.9</v>
      </c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5"/>
      <c r="E58" s="5"/>
      <c r="F58" s="68"/>
      <c r="G58" s="5"/>
      <c r="H58" s="5"/>
      <c r="I58" s="5" t="s">
        <v>193</v>
      </c>
      <c r="J58" s="5">
        <v>165</v>
      </c>
      <c r="K58" s="5" t="s">
        <v>272</v>
      </c>
      <c r="L58" s="5" t="s">
        <v>210</v>
      </c>
      <c r="M58" s="73">
        <v>0</v>
      </c>
      <c r="N58" s="27"/>
      <c r="O58" s="27"/>
      <c r="P58" s="77"/>
      <c r="Q58" s="77"/>
      <c r="R58" s="5"/>
      <c r="S58" s="5">
        <v>14.9</v>
      </c>
      <c r="T58" s="5"/>
      <c r="U58" s="5"/>
      <c r="V58" s="5"/>
      <c r="W58" s="5"/>
      <c r="X58" s="5"/>
      <c r="Y58" s="5"/>
      <c r="Z58" s="5"/>
    </row>
    <row r="59" spans="1:26" ht="15.75" thickBot="1" x14ac:dyDescent="0.3">
      <c r="A59" s="30"/>
      <c r="B59" s="2"/>
      <c r="C59" s="2"/>
      <c r="D59" s="2"/>
      <c r="E59" s="2"/>
      <c r="F59" s="67"/>
      <c r="G59" s="5"/>
      <c r="H59" s="5"/>
      <c r="I59" s="5" t="s">
        <v>192</v>
      </c>
      <c r="J59" s="5">
        <v>200</v>
      </c>
      <c r="K59" s="5" t="s">
        <v>272</v>
      </c>
      <c r="L59" s="5" t="s">
        <v>210</v>
      </c>
      <c r="M59" s="73">
        <v>0</v>
      </c>
      <c r="N59" s="27"/>
      <c r="O59" s="27"/>
      <c r="P59" s="77"/>
      <c r="Q59" s="77"/>
      <c r="R59" s="6"/>
      <c r="S59" s="5">
        <v>14.9</v>
      </c>
      <c r="T59" s="5"/>
      <c r="U59" s="5"/>
      <c r="V59" s="5"/>
      <c r="W59" s="5"/>
      <c r="X59" s="5"/>
      <c r="Y59" s="5"/>
      <c r="Z59" s="5"/>
    </row>
    <row r="60" spans="1:26" ht="16.5" thickTop="1" thickBot="1" x14ac:dyDescent="0.3">
      <c r="A60" s="31"/>
      <c r="B60" s="5"/>
      <c r="C60" s="5"/>
      <c r="D60" s="5"/>
      <c r="E60" s="5"/>
      <c r="F60" s="68"/>
      <c r="G60" s="5"/>
      <c r="H60" s="5"/>
      <c r="I60" s="82" t="s">
        <v>162</v>
      </c>
      <c r="J60" s="78">
        <v>187</v>
      </c>
      <c r="K60" s="78" t="s">
        <v>272</v>
      </c>
      <c r="L60" s="78" t="s">
        <v>210</v>
      </c>
      <c r="M60" s="79">
        <v>0</v>
      </c>
      <c r="N60" s="83"/>
      <c r="O60" s="83"/>
      <c r="P60" s="85"/>
      <c r="Q60" s="85"/>
      <c r="R60" s="80">
        <v>42368.912499999999</v>
      </c>
      <c r="S60" s="81">
        <v>14.9</v>
      </c>
      <c r="T60" s="5"/>
      <c r="U60" s="5"/>
      <c r="V60" s="5"/>
      <c r="W60" s="5"/>
      <c r="X60" s="5"/>
      <c r="Y60" s="5"/>
      <c r="Z60" s="5"/>
    </row>
    <row r="61" spans="1:26" ht="15.75" thickTop="1" x14ac:dyDescent="0.25">
      <c r="A61" s="30"/>
      <c r="B61" s="2"/>
      <c r="C61" s="2"/>
      <c r="D61" s="2"/>
      <c r="E61" s="2"/>
      <c r="F61" s="67"/>
      <c r="G61" s="5"/>
      <c r="H61" s="5"/>
      <c r="I61" s="5"/>
      <c r="J61" s="5"/>
      <c r="K61" s="5"/>
      <c r="L61" s="5"/>
      <c r="M61" s="73"/>
      <c r="N61" s="27"/>
      <c r="O61" s="27"/>
      <c r="P61" s="77"/>
      <c r="Q61" s="77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thickBot="1" x14ac:dyDescent="0.3">
      <c r="A62" s="31"/>
      <c r="B62" s="5"/>
      <c r="C62" s="5"/>
      <c r="D62" s="5"/>
      <c r="E62" s="5"/>
      <c r="F62" s="68"/>
      <c r="G62" s="5"/>
      <c r="H62" s="5"/>
      <c r="I62" s="66" t="s">
        <v>212</v>
      </c>
      <c r="J62" s="66"/>
      <c r="K62" s="66"/>
      <c r="L62" s="66"/>
      <c r="M62" s="75"/>
      <c r="N62" s="95"/>
      <c r="O62" s="95"/>
      <c r="P62" s="104"/>
      <c r="Q62" s="104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2"/>
      <c r="E63" s="2"/>
      <c r="F63" s="67"/>
      <c r="G63" s="5"/>
      <c r="H63" s="5"/>
      <c r="I63" s="5" t="s">
        <v>216</v>
      </c>
      <c r="J63" s="5"/>
      <c r="K63" s="5" t="s">
        <v>215</v>
      </c>
      <c r="L63" s="5"/>
      <c r="M63" s="73" t="s">
        <v>214</v>
      </c>
      <c r="N63" s="27"/>
      <c r="O63" s="27" t="s">
        <v>213</v>
      </c>
      <c r="P63" s="77"/>
      <c r="Q63" s="77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5"/>
      <c r="E64" s="5"/>
      <c r="F64" s="68"/>
      <c r="G64" s="5"/>
      <c r="H64" s="5"/>
      <c r="I64" s="5"/>
      <c r="J64" s="5"/>
      <c r="K64" s="5"/>
      <c r="L64" s="5"/>
      <c r="M64" s="73"/>
      <c r="N64" s="27"/>
      <c r="O64" s="27"/>
      <c r="P64" s="77"/>
      <c r="Q64" s="77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2"/>
      <c r="E65" s="2"/>
      <c r="F65" s="67"/>
      <c r="G65" s="5"/>
      <c r="H65" s="5"/>
      <c r="I65" s="5"/>
      <c r="J65" s="5"/>
      <c r="K65" s="5"/>
      <c r="L65" s="5"/>
      <c r="M65" s="73"/>
      <c r="N65" s="14"/>
      <c r="O65" s="14"/>
      <c r="P65" s="73"/>
      <c r="Q65" s="73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5"/>
      <c r="E66" s="5"/>
      <c r="F66" s="68"/>
      <c r="G66" s="5"/>
      <c r="H66" s="5"/>
      <c r="I66" s="5"/>
      <c r="J66" s="5"/>
      <c r="K66" s="5"/>
      <c r="L66" s="5"/>
      <c r="M66" s="73"/>
      <c r="N66" s="14"/>
      <c r="O66" s="14"/>
      <c r="P66" s="73"/>
      <c r="Q66" s="73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2"/>
      <c r="E67" s="2"/>
      <c r="F67" s="67"/>
      <c r="G67" s="5"/>
      <c r="H67" s="5"/>
      <c r="I67" s="5"/>
      <c r="J67" s="5"/>
      <c r="K67" s="5"/>
      <c r="L67" s="5"/>
      <c r="M67" s="73"/>
      <c r="N67" s="14"/>
      <c r="O67" s="14"/>
      <c r="P67" s="73"/>
      <c r="Q67" s="73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5"/>
      <c r="E68" s="5"/>
      <c r="F68" s="68"/>
      <c r="G68" s="5"/>
      <c r="H68" s="5"/>
      <c r="I68" s="5"/>
      <c r="J68" s="5"/>
      <c r="K68" s="5"/>
      <c r="L68" s="5"/>
      <c r="M68" s="73"/>
      <c r="N68" s="14"/>
      <c r="O68" s="14"/>
      <c r="P68" s="73"/>
      <c r="Q68" s="73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2"/>
      <c r="E69" s="2"/>
      <c r="F69" s="67"/>
      <c r="G69" s="5"/>
      <c r="H69" s="5"/>
      <c r="I69" s="5"/>
      <c r="J69" s="5"/>
      <c r="K69" s="5"/>
      <c r="L69" s="5"/>
      <c r="M69" s="73"/>
      <c r="N69" s="14"/>
      <c r="O69" s="14"/>
      <c r="P69" s="73"/>
      <c r="Q69" s="73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5"/>
      <c r="E70" s="5"/>
      <c r="F70" s="68"/>
      <c r="G70" s="5"/>
      <c r="H70" s="5"/>
      <c r="I70" s="5"/>
      <c r="J70" s="5"/>
      <c r="K70" s="5"/>
      <c r="L70" s="5"/>
      <c r="M70" s="73"/>
      <c r="N70" s="14"/>
      <c r="O70" s="14"/>
      <c r="P70" s="73"/>
      <c r="Q70" s="73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2"/>
      <c r="E71" s="2"/>
      <c r="F71" s="67"/>
      <c r="G71" s="5"/>
      <c r="H71" s="5"/>
      <c r="I71" s="5"/>
      <c r="J71" s="5"/>
      <c r="K71" s="5"/>
      <c r="L71" s="5"/>
      <c r="M71" s="73"/>
      <c r="N71" s="14"/>
      <c r="O71" s="14"/>
      <c r="P71" s="73"/>
      <c r="Q71" s="73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5"/>
      <c r="E72" s="5"/>
      <c r="F72" s="68"/>
      <c r="G72" s="5"/>
      <c r="H72" s="5"/>
      <c r="I72" s="5"/>
      <c r="J72" s="5"/>
      <c r="K72" s="5"/>
      <c r="L72" s="5"/>
      <c r="M72" s="73"/>
      <c r="N72" s="14"/>
      <c r="O72" s="14"/>
      <c r="P72" s="73"/>
      <c r="Q72" s="73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2"/>
      <c r="E73" s="2"/>
      <c r="F73" s="67"/>
      <c r="G73" s="5"/>
      <c r="H73" s="5"/>
      <c r="I73" s="5"/>
      <c r="J73" s="5"/>
      <c r="K73" s="5"/>
      <c r="L73" s="5"/>
      <c r="M73" s="73"/>
      <c r="N73" s="14"/>
      <c r="O73" s="14"/>
      <c r="P73" s="73"/>
      <c r="Q73" s="73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5"/>
      <c r="E74" s="5"/>
      <c r="F74" s="68"/>
      <c r="G74" s="5"/>
      <c r="H74" s="5"/>
      <c r="I74" s="5"/>
      <c r="J74" s="5"/>
      <c r="K74" s="5"/>
      <c r="L74" s="5"/>
      <c r="M74" s="73"/>
      <c r="N74" s="14"/>
      <c r="O74" s="14"/>
      <c r="P74" s="73"/>
      <c r="Q74" s="73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2"/>
      <c r="E75" s="2"/>
      <c r="F75" s="67"/>
      <c r="G75" s="5"/>
      <c r="H75" s="5"/>
      <c r="I75" s="5"/>
      <c r="J75" s="5"/>
      <c r="K75" s="5"/>
      <c r="L75" s="5"/>
      <c r="M75" s="73"/>
      <c r="N75" s="14"/>
      <c r="O75" s="14"/>
      <c r="P75" s="73"/>
      <c r="Q75" s="73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5"/>
      <c r="E76" s="5"/>
      <c r="F76" s="68"/>
      <c r="G76" s="5"/>
      <c r="H76" s="5"/>
      <c r="I76" s="5"/>
      <c r="J76" s="5"/>
      <c r="K76" s="5"/>
      <c r="L76" s="5"/>
      <c r="M76" s="73"/>
      <c r="N76" s="14"/>
      <c r="O76" s="14"/>
      <c r="P76" s="73"/>
      <c r="Q76" s="73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2"/>
      <c r="E77" s="2"/>
      <c r="F77" s="67"/>
      <c r="G77" s="5"/>
      <c r="H77" s="5"/>
      <c r="I77" s="5"/>
      <c r="J77" s="5"/>
      <c r="K77" s="5"/>
      <c r="L77" s="5"/>
      <c r="M77" s="73"/>
      <c r="N77" s="14"/>
      <c r="O77" s="14"/>
      <c r="P77" s="73"/>
      <c r="Q77" s="73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5"/>
      <c r="E78" s="5"/>
      <c r="F78" s="68"/>
      <c r="G78" s="5"/>
      <c r="H78" s="5"/>
      <c r="I78" s="5"/>
      <c r="J78" s="5"/>
      <c r="K78" s="5"/>
      <c r="L78" s="5"/>
      <c r="M78" s="73"/>
      <c r="N78" s="14"/>
      <c r="O78" s="14"/>
      <c r="P78" s="73"/>
      <c r="Q78" s="73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2"/>
      <c r="E79" s="2"/>
      <c r="F79" s="67"/>
      <c r="G79" s="5"/>
      <c r="H79" s="5"/>
      <c r="I79" s="5"/>
      <c r="J79" s="5"/>
      <c r="K79" s="5"/>
      <c r="L79" s="5"/>
      <c r="M79" s="73"/>
      <c r="N79" s="14"/>
      <c r="O79" s="14"/>
      <c r="P79" s="73"/>
      <c r="Q79" s="73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5"/>
      <c r="E80" s="5"/>
      <c r="F80" s="68"/>
      <c r="G80" s="5"/>
      <c r="H80" s="5"/>
      <c r="I80" s="5"/>
      <c r="J80" s="5"/>
      <c r="K80" s="5"/>
      <c r="L80" s="5"/>
      <c r="M80" s="73"/>
      <c r="N80" s="14"/>
      <c r="O80" s="14"/>
      <c r="P80" s="73"/>
      <c r="Q80" s="73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2"/>
      <c r="E81" s="2"/>
      <c r="F81" s="67"/>
      <c r="G81" s="5"/>
      <c r="H81" s="5"/>
      <c r="I81" s="5"/>
      <c r="J81" s="5"/>
      <c r="K81" s="5"/>
      <c r="L81" s="5"/>
      <c r="M81" s="73"/>
      <c r="N81" s="14"/>
      <c r="O81" s="14"/>
      <c r="P81" s="73"/>
      <c r="Q81" s="73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5"/>
      <c r="E82" s="5"/>
      <c r="F82" s="68"/>
      <c r="G82" s="5"/>
      <c r="H82" s="5"/>
      <c r="I82" s="5"/>
      <c r="J82" s="5"/>
      <c r="K82" s="5"/>
      <c r="L82" s="5"/>
      <c r="M82" s="73"/>
      <c r="N82" s="14"/>
      <c r="O82" s="14"/>
      <c r="P82" s="73"/>
      <c r="Q82" s="73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2"/>
      <c r="E83" s="2"/>
      <c r="F83" s="67"/>
      <c r="G83" s="5"/>
      <c r="H83" s="5"/>
      <c r="I83" s="5"/>
      <c r="J83" s="5"/>
      <c r="K83" s="5"/>
      <c r="L83" s="5"/>
      <c r="M83" s="73"/>
      <c r="N83" s="14"/>
      <c r="O83" s="14"/>
      <c r="P83" s="73"/>
      <c r="Q83" s="73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3"/>
      <c r="N84" s="14"/>
      <c r="O84" s="14"/>
      <c r="P84" s="73"/>
      <c r="Q84" s="73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3"/>
      <c r="N85" s="14"/>
      <c r="O85" s="14"/>
      <c r="P85" s="73"/>
      <c r="Q85" s="73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3"/>
      <c r="N86" s="14"/>
      <c r="O86" s="14"/>
      <c r="P86" s="73"/>
      <c r="Q86" s="73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3"/>
      <c r="N87" s="14"/>
      <c r="O87" s="14"/>
      <c r="P87" s="73"/>
      <c r="Q87" s="73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3"/>
      <c r="N88" s="14"/>
      <c r="O88" s="14"/>
      <c r="P88" s="73"/>
      <c r="Q88" s="73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3"/>
      <c r="N89" s="14"/>
      <c r="O89" s="14"/>
      <c r="P89" s="73"/>
      <c r="Q89" s="73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3"/>
      <c r="N90" s="14"/>
      <c r="O90" s="14"/>
      <c r="P90" s="73"/>
      <c r="Q90" s="73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3"/>
      <c r="N91" s="14"/>
      <c r="O91" s="14"/>
      <c r="P91" s="73"/>
      <c r="Q91" s="73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3"/>
      <c r="N92" s="14"/>
      <c r="O92" s="14"/>
      <c r="P92" s="73"/>
      <c r="Q92" s="73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3"/>
      <c r="N93" s="14"/>
      <c r="O93" s="14"/>
      <c r="P93" s="73"/>
      <c r="Q93" s="73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3"/>
      <c r="N94" s="14"/>
      <c r="O94" s="14"/>
      <c r="P94" s="73"/>
      <c r="Q94" s="73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3"/>
      <c r="N95" s="14"/>
      <c r="O95" s="14"/>
      <c r="P95" s="73"/>
      <c r="Q95" s="73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3"/>
      <c r="N96" s="14"/>
      <c r="O96" s="14"/>
      <c r="P96" s="73"/>
      <c r="Q96" s="73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3"/>
      <c r="N97" s="14"/>
      <c r="O97" s="14"/>
      <c r="P97" s="73"/>
      <c r="Q97" s="73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3"/>
      <c r="N98" s="14"/>
      <c r="O98" s="14"/>
      <c r="P98" s="73"/>
      <c r="Q98" s="73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3"/>
      <c r="N99" s="14"/>
      <c r="O99" s="14"/>
      <c r="P99" s="73"/>
      <c r="Q99" s="73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3"/>
      <c r="N100" s="14"/>
      <c r="O100" s="14"/>
      <c r="P100" s="73"/>
      <c r="Q100" s="73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2"/>
      <c r="C107" s="2"/>
      <c r="D107" s="30"/>
      <c r="E107" s="36"/>
      <c r="F107" s="50"/>
    </row>
    <row r="108" spans="1:26" x14ac:dyDescent="0.25">
      <c r="A108" s="31"/>
      <c r="B108" s="5"/>
      <c r="C108" s="5"/>
      <c r="D108" s="31"/>
      <c r="E108" s="37"/>
      <c r="F108" s="52"/>
    </row>
    <row r="109" spans="1:26" x14ac:dyDescent="0.25">
      <c r="A109" s="30"/>
      <c r="B109" s="2"/>
      <c r="C109" s="2"/>
      <c r="D109" s="30"/>
      <c r="E109" s="36"/>
      <c r="F109" s="50"/>
    </row>
    <row r="110" spans="1:26" x14ac:dyDescent="0.25">
      <c r="A110" s="31"/>
      <c r="B110" s="5"/>
      <c r="C110" s="5"/>
      <c r="D110" s="31"/>
      <c r="E110" s="37"/>
      <c r="F110" s="52"/>
    </row>
    <row r="111" spans="1:26" x14ac:dyDescent="0.25">
      <c r="A111" s="30"/>
      <c r="B111" s="2"/>
      <c r="C111" s="2"/>
      <c r="D111" s="30"/>
      <c r="E111" s="36"/>
      <c r="F111" s="50"/>
    </row>
    <row r="112" spans="1:26" x14ac:dyDescent="0.25">
      <c r="A112" s="31"/>
      <c r="B112" s="5"/>
      <c r="C112" s="5"/>
      <c r="D112" s="31"/>
      <c r="E112" s="37"/>
      <c r="F112" s="52"/>
    </row>
    <row r="113" spans="1:6" x14ac:dyDescent="0.25">
      <c r="A113" s="30"/>
      <c r="B113" s="2"/>
      <c r="C113" s="2"/>
      <c r="D113" s="30"/>
      <c r="E113" s="36"/>
      <c r="F113" s="50"/>
    </row>
    <row r="114" spans="1:6" x14ac:dyDescent="0.25">
      <c r="A114" s="31"/>
      <c r="B114" s="5"/>
      <c r="C114" s="5"/>
      <c r="D114" s="31"/>
      <c r="E114" s="37"/>
      <c r="F114" s="52"/>
    </row>
    <row r="115" spans="1:6" x14ac:dyDescent="0.25">
      <c r="A115" s="30"/>
      <c r="B115" s="2"/>
      <c r="C115" s="2"/>
      <c r="D115" s="30"/>
      <c r="E115" s="36"/>
      <c r="F115" s="50"/>
    </row>
    <row r="116" spans="1:6" x14ac:dyDescent="0.25">
      <c r="A116" s="31"/>
      <c r="B116" s="5"/>
      <c r="C116" s="5"/>
      <c r="D116" s="31"/>
      <c r="E116" s="37"/>
      <c r="F116" s="52"/>
    </row>
    <row r="117" spans="1:6" x14ac:dyDescent="0.25">
      <c r="A117" s="30"/>
      <c r="B117" s="2"/>
      <c r="C117" s="2"/>
      <c r="D117" s="30"/>
      <c r="E117" s="36"/>
      <c r="F117" s="50"/>
    </row>
    <row r="118" spans="1:6" x14ac:dyDescent="0.25">
      <c r="A118" s="31"/>
      <c r="B118" s="5"/>
      <c r="C118" s="5"/>
      <c r="D118" s="31"/>
      <c r="E118" s="37"/>
      <c r="F118" s="52"/>
    </row>
    <row r="119" spans="1:6" x14ac:dyDescent="0.25">
      <c r="A119" s="30"/>
      <c r="B119" s="2"/>
      <c r="C119" s="2"/>
      <c r="D119" s="30"/>
      <c r="E119" s="36"/>
      <c r="F119" s="50"/>
    </row>
    <row r="120" spans="1:6" x14ac:dyDescent="0.25">
      <c r="A120" s="31"/>
      <c r="B120" s="5"/>
      <c r="C120" s="5"/>
      <c r="D120" s="31"/>
      <c r="E120" s="37"/>
      <c r="F120" s="52"/>
    </row>
    <row r="121" spans="1:6" x14ac:dyDescent="0.25">
      <c r="A121" s="30"/>
      <c r="B121" s="2"/>
      <c r="C121" s="2"/>
      <c r="D121" s="30"/>
      <c r="E121" s="36"/>
      <c r="F121" s="50"/>
    </row>
    <row r="122" spans="1:6" x14ac:dyDescent="0.25">
      <c r="A122" s="31"/>
      <c r="B122" s="5"/>
      <c r="C122" s="5"/>
      <c r="D122" s="31"/>
      <c r="E122" s="37"/>
      <c r="F122" s="52"/>
    </row>
    <row r="123" spans="1:6" x14ac:dyDescent="0.25">
      <c r="A123" s="30"/>
      <c r="B123" s="2"/>
      <c r="C123" s="2"/>
      <c r="D123" s="30"/>
      <c r="E123" s="36"/>
      <c r="F123" s="50"/>
    </row>
    <row r="124" spans="1:6" x14ac:dyDescent="0.25">
      <c r="A124" s="31"/>
      <c r="B124" s="5"/>
      <c r="C124" s="5"/>
      <c r="D124" s="31"/>
      <c r="E124" s="37"/>
      <c r="F124" s="52"/>
    </row>
    <row r="125" spans="1:6" x14ac:dyDescent="0.25">
      <c r="A125" s="30"/>
      <c r="B125" s="2"/>
      <c r="C125" s="2"/>
      <c r="D125" s="30"/>
      <c r="E125" s="36"/>
      <c r="F125" s="50"/>
    </row>
    <row r="126" spans="1:6" x14ac:dyDescent="0.25">
      <c r="A126" s="31"/>
      <c r="B126" s="5"/>
      <c r="C126" s="5"/>
      <c r="D126" s="31"/>
      <c r="E126" s="37"/>
      <c r="F126" s="52"/>
    </row>
    <row r="127" spans="1:6" x14ac:dyDescent="0.25">
      <c r="A127" s="30"/>
      <c r="B127" s="2"/>
      <c r="C127" s="2"/>
      <c r="D127" s="30"/>
      <c r="E127" s="36"/>
      <c r="F127" s="50"/>
    </row>
    <row r="128" spans="1:6" x14ac:dyDescent="0.25">
      <c r="A128" s="31"/>
      <c r="B128" s="5"/>
      <c r="C128" s="5"/>
      <c r="D128" s="31"/>
      <c r="E128" s="37"/>
      <c r="F128" s="52"/>
    </row>
    <row r="129" spans="1:6" x14ac:dyDescent="0.25">
      <c r="A129" s="30"/>
      <c r="B129" s="2"/>
      <c r="C129" s="2"/>
      <c r="D129" s="30"/>
      <c r="E129" s="36"/>
      <c r="F129" s="50"/>
    </row>
    <row r="130" spans="1:6" x14ac:dyDescent="0.25">
      <c r="A130" s="30"/>
      <c r="B130" s="2"/>
      <c r="C130" s="2"/>
      <c r="D130" s="30"/>
      <c r="E130" s="36"/>
      <c r="F130" s="50"/>
    </row>
    <row r="131" spans="1:6" x14ac:dyDescent="0.25">
      <c r="A131" s="31"/>
      <c r="B131" s="5"/>
      <c r="C131" s="5"/>
      <c r="D131" s="31"/>
      <c r="E131" s="37"/>
      <c r="F131" s="52"/>
    </row>
    <row r="132" spans="1:6" x14ac:dyDescent="0.25">
      <c r="A132" s="30"/>
      <c r="B132" s="2"/>
      <c r="C132" s="2"/>
      <c r="D132" s="30"/>
      <c r="E132" s="36"/>
      <c r="F132" s="50"/>
    </row>
    <row r="133" spans="1:6" x14ac:dyDescent="0.25">
      <c r="A133" s="30"/>
      <c r="B133" s="2"/>
      <c r="C133" s="2"/>
      <c r="D133" s="30"/>
      <c r="E133" s="36"/>
      <c r="F133" s="50"/>
    </row>
    <row r="134" spans="1:6" x14ac:dyDescent="0.25">
      <c r="A134" s="31"/>
      <c r="B134" s="5"/>
      <c r="C134" s="5"/>
      <c r="D134" s="31"/>
      <c r="E134" s="37"/>
      <c r="F134" s="52"/>
    </row>
    <row r="135" spans="1:6" x14ac:dyDescent="0.25">
      <c r="A135" s="30"/>
      <c r="B135" s="2"/>
      <c r="C135" s="2"/>
      <c r="D135" s="30"/>
      <c r="E135" s="36"/>
      <c r="F135" s="50"/>
    </row>
    <row r="136" spans="1:6" x14ac:dyDescent="0.25">
      <c r="A136" s="30"/>
      <c r="B136" s="2"/>
      <c r="C136" s="2"/>
      <c r="D136" s="30"/>
      <c r="E136" s="36"/>
      <c r="F136" s="50"/>
    </row>
    <row r="137" spans="1:6" x14ac:dyDescent="0.25">
      <c r="A137" s="31"/>
      <c r="B137" s="5"/>
      <c r="C137" s="5"/>
      <c r="D137" s="31"/>
      <c r="E137" s="37"/>
      <c r="F137" s="52"/>
    </row>
    <row r="138" spans="1:6" x14ac:dyDescent="0.25">
      <c r="A138" s="30"/>
      <c r="B138" s="2"/>
      <c r="C138" s="2"/>
      <c r="D138" s="30"/>
      <c r="E138" s="36"/>
      <c r="F138" s="50"/>
    </row>
    <row r="139" spans="1:6" x14ac:dyDescent="0.25">
      <c r="A139" s="30"/>
      <c r="B139" s="2"/>
      <c r="C139" s="2"/>
      <c r="D139" s="30"/>
      <c r="E139" s="36"/>
      <c r="F139" s="50"/>
    </row>
    <row r="140" spans="1:6" x14ac:dyDescent="0.25">
      <c r="A140" s="31"/>
      <c r="B140" s="5"/>
      <c r="C140" s="5"/>
      <c r="D140" s="31"/>
      <c r="E140" s="37"/>
      <c r="F140" s="52"/>
    </row>
    <row r="141" spans="1:6" x14ac:dyDescent="0.25">
      <c r="A141" s="30"/>
      <c r="B141" s="2"/>
      <c r="C141" s="2"/>
      <c r="D141" s="30"/>
      <c r="E141" s="36"/>
      <c r="F141" s="50"/>
    </row>
    <row r="142" spans="1:6" x14ac:dyDescent="0.25">
      <c r="A142" s="30"/>
      <c r="B142" s="2"/>
      <c r="C142" s="2"/>
      <c r="D142" s="30"/>
      <c r="E142" s="36"/>
      <c r="F142" s="50"/>
    </row>
    <row r="143" spans="1:6" x14ac:dyDescent="0.25">
      <c r="A143" s="31"/>
      <c r="B143" s="5"/>
      <c r="C143" s="5"/>
      <c r="D143" s="31"/>
      <c r="E143" s="37"/>
      <c r="F143" s="52"/>
    </row>
    <row r="144" spans="1:6" x14ac:dyDescent="0.25">
      <c r="A144" s="30"/>
      <c r="B144" s="2"/>
      <c r="C144" s="2"/>
      <c r="D144" s="30"/>
      <c r="E144" s="36"/>
      <c r="F144" s="50"/>
    </row>
    <row r="145" spans="1:6" x14ac:dyDescent="0.25">
      <c r="A145" s="30"/>
      <c r="B145" s="2"/>
      <c r="C145" s="2"/>
      <c r="D145" s="30"/>
      <c r="E145" s="36"/>
      <c r="F145" s="50"/>
    </row>
    <row r="146" spans="1:6" x14ac:dyDescent="0.25">
      <c r="A146" s="31"/>
      <c r="B146" s="5"/>
      <c r="C146" s="5"/>
      <c r="D146" s="31"/>
      <c r="E146" s="37"/>
      <c r="F146" s="52"/>
    </row>
    <row r="147" spans="1:6" x14ac:dyDescent="0.25">
      <c r="A147" s="30"/>
      <c r="B147" s="2"/>
      <c r="C147" s="2"/>
      <c r="D147" s="30"/>
      <c r="E147" s="36"/>
      <c r="F147" s="50"/>
    </row>
    <row r="148" spans="1:6" x14ac:dyDescent="0.25">
      <c r="A148" s="30"/>
      <c r="B148" s="2"/>
      <c r="C148" s="2"/>
      <c r="D148" s="30"/>
      <c r="E148" s="36"/>
      <c r="F148" s="50"/>
    </row>
    <row r="149" spans="1:6" x14ac:dyDescent="0.25">
      <c r="A149" s="31"/>
      <c r="B149" s="5"/>
      <c r="C149" s="5"/>
      <c r="D149" s="31"/>
      <c r="E149" s="37"/>
      <c r="F149" s="52"/>
    </row>
    <row r="150" spans="1:6" x14ac:dyDescent="0.25">
      <c r="A150" s="30"/>
      <c r="B150" s="2"/>
      <c r="C150" s="2"/>
      <c r="D150" s="30"/>
      <c r="E150" s="36"/>
      <c r="F150" s="50"/>
    </row>
    <row r="151" spans="1:6" x14ac:dyDescent="0.25">
      <c r="A151" s="30"/>
      <c r="B151" s="2"/>
      <c r="C151" s="2"/>
      <c r="D151" s="30"/>
      <c r="E151" s="36"/>
      <c r="F151" s="50"/>
    </row>
    <row r="152" spans="1:6" x14ac:dyDescent="0.25">
      <c r="A152" s="31"/>
      <c r="B152" s="5"/>
      <c r="C152" s="5"/>
      <c r="D152" s="31"/>
      <c r="E152" s="37"/>
      <c r="F152" s="52"/>
    </row>
    <row r="153" spans="1:6" x14ac:dyDescent="0.25">
      <c r="A153" s="30"/>
      <c r="B153" s="2"/>
      <c r="C153" s="2"/>
      <c r="D153" s="30"/>
      <c r="E153" s="36"/>
      <c r="F153" s="50"/>
    </row>
    <row r="154" spans="1:6" x14ac:dyDescent="0.25">
      <c r="A154" s="30"/>
      <c r="B154" s="2"/>
      <c r="C154" s="2"/>
      <c r="D154" s="30"/>
      <c r="E154" s="36"/>
      <c r="F154" s="50"/>
    </row>
    <row r="155" spans="1:6" x14ac:dyDescent="0.25">
      <c r="A155" s="31"/>
      <c r="B155" s="5"/>
      <c r="C155" s="5"/>
      <c r="D155" s="31"/>
      <c r="E155" s="37"/>
      <c r="F155" s="52"/>
    </row>
    <row r="156" spans="1:6" x14ac:dyDescent="0.25">
      <c r="A156" s="30"/>
      <c r="B156" s="2"/>
      <c r="C156" s="2"/>
      <c r="D156" s="30"/>
      <c r="E156" s="36"/>
      <c r="F156" s="50"/>
    </row>
    <row r="157" spans="1:6" x14ac:dyDescent="0.25">
      <c r="A157" s="30"/>
      <c r="B157" s="2"/>
      <c r="C157" s="2"/>
      <c r="D157" s="30"/>
      <c r="E157" s="36"/>
      <c r="F157" s="50"/>
    </row>
    <row r="158" spans="1:6" x14ac:dyDescent="0.25">
      <c r="A158" s="31"/>
      <c r="B158" s="5"/>
      <c r="C158" s="5"/>
      <c r="D158" s="31"/>
      <c r="E158" s="37"/>
      <c r="F158" s="52"/>
    </row>
    <row r="159" spans="1:6" x14ac:dyDescent="0.25">
      <c r="A159" s="30"/>
      <c r="B159" s="2"/>
      <c r="C159" s="2"/>
      <c r="D159" s="30"/>
      <c r="E159" s="36"/>
      <c r="F159" s="50"/>
    </row>
    <row r="160" spans="1:6" x14ac:dyDescent="0.25">
      <c r="A160" s="30"/>
      <c r="B160" s="2"/>
      <c r="C160" s="2"/>
      <c r="D160" s="30"/>
      <c r="E160" s="36"/>
      <c r="F160" s="50"/>
    </row>
    <row r="161" spans="1:6" x14ac:dyDescent="0.25">
      <c r="A161" s="31"/>
      <c r="B161" s="5"/>
      <c r="C161" s="5"/>
      <c r="D161" s="31"/>
      <c r="E161" s="37"/>
      <c r="F161" s="52"/>
    </row>
    <row r="162" spans="1:6" x14ac:dyDescent="0.25">
      <c r="A162" s="30"/>
      <c r="B162" s="2"/>
      <c r="C162" s="2"/>
      <c r="D162" s="30"/>
      <c r="E162" s="36"/>
      <c r="F162" s="50"/>
    </row>
    <row r="163" spans="1:6" x14ac:dyDescent="0.25">
      <c r="A163" s="30"/>
      <c r="B163" s="2"/>
      <c r="C163" s="2"/>
      <c r="D163" s="30"/>
      <c r="E163" s="36"/>
      <c r="F163" s="50"/>
    </row>
    <row r="164" spans="1:6" x14ac:dyDescent="0.25">
      <c r="A164" s="31"/>
      <c r="B164" s="5"/>
      <c r="C164" s="5"/>
      <c r="D164" s="31"/>
      <c r="E164" s="37"/>
      <c r="F164" s="52"/>
    </row>
    <row r="165" spans="1:6" x14ac:dyDescent="0.25">
      <c r="A165" s="30"/>
      <c r="B165" s="2"/>
      <c r="C165" s="2"/>
      <c r="D165" s="30"/>
      <c r="E165" s="36"/>
      <c r="F165" s="50"/>
    </row>
    <row r="166" spans="1:6" x14ac:dyDescent="0.25">
      <c r="A166" s="30"/>
      <c r="B166" s="2"/>
      <c r="C166" s="2"/>
      <c r="D166" s="30"/>
      <c r="E166" s="36"/>
      <c r="F166" s="50"/>
    </row>
    <row r="167" spans="1:6" x14ac:dyDescent="0.25">
      <c r="A167" s="31"/>
      <c r="B167" s="5"/>
      <c r="C167" s="5"/>
      <c r="D167" s="31"/>
      <c r="E167" s="37"/>
      <c r="F167" s="52"/>
    </row>
    <row r="168" spans="1:6" x14ac:dyDescent="0.25">
      <c r="A168" s="30"/>
      <c r="B168" s="2"/>
      <c r="C168" s="2"/>
      <c r="D168" s="30"/>
      <c r="E168" s="36"/>
      <c r="F168" s="50"/>
    </row>
    <row r="169" spans="1:6" x14ac:dyDescent="0.25">
      <c r="A169" s="30"/>
      <c r="B169" s="2"/>
      <c r="C169" s="2"/>
      <c r="D169" s="30"/>
      <c r="E169" s="36"/>
      <c r="F169" s="50"/>
    </row>
    <row r="170" spans="1:6" x14ac:dyDescent="0.25">
      <c r="A170" s="31"/>
      <c r="B170" s="5"/>
      <c r="C170" s="5"/>
      <c r="D170" s="31"/>
      <c r="E170" s="37"/>
      <c r="F170" s="52"/>
    </row>
    <row r="171" spans="1:6" x14ac:dyDescent="0.25">
      <c r="A171" s="30"/>
      <c r="B171" s="2"/>
      <c r="C171" s="2"/>
      <c r="D171" s="30"/>
      <c r="E171" s="36"/>
      <c r="F171" s="50"/>
    </row>
    <row r="172" spans="1:6" x14ac:dyDescent="0.25">
      <c r="A172" s="30"/>
      <c r="B172" s="2"/>
      <c r="C172" s="2"/>
      <c r="D172" s="30"/>
      <c r="E172" s="36"/>
      <c r="F172" s="50"/>
    </row>
    <row r="173" spans="1:6" x14ac:dyDescent="0.25">
      <c r="A173" s="31"/>
      <c r="B173" s="5"/>
      <c r="C173" s="5"/>
      <c r="D173" s="31"/>
      <c r="E173" s="37"/>
      <c r="F173" s="52"/>
    </row>
    <row r="174" spans="1:6" x14ac:dyDescent="0.25">
      <c r="A174" s="30"/>
      <c r="B174" s="2"/>
      <c r="C174" s="2"/>
      <c r="D174" s="30"/>
      <c r="E174" s="36"/>
      <c r="F174" s="50"/>
    </row>
    <row r="175" spans="1:6" x14ac:dyDescent="0.25">
      <c r="A175" s="30"/>
      <c r="B175" s="2"/>
      <c r="C175" s="2"/>
      <c r="D175" s="30"/>
      <c r="E175" s="36"/>
      <c r="F175" s="50"/>
    </row>
    <row r="176" spans="1:6" x14ac:dyDescent="0.25">
      <c r="A176" s="31"/>
      <c r="B176" s="5"/>
      <c r="C176" s="5"/>
      <c r="D176" s="31"/>
      <c r="E176" s="37"/>
      <c r="F176" s="52"/>
    </row>
    <row r="177" spans="1:6" x14ac:dyDescent="0.25">
      <c r="A177" s="30"/>
      <c r="B177" s="2"/>
      <c r="C177" s="2"/>
      <c r="D177" s="30"/>
      <c r="E177" s="36"/>
      <c r="F177" s="50"/>
    </row>
    <row r="178" spans="1:6" x14ac:dyDescent="0.25">
      <c r="A178" s="30"/>
      <c r="B178" s="2"/>
      <c r="C178" s="2"/>
      <c r="D178" s="30"/>
      <c r="E178" s="36"/>
      <c r="F178" s="50"/>
    </row>
    <row r="179" spans="1:6" x14ac:dyDescent="0.25">
      <c r="A179" s="31"/>
      <c r="B179" s="5"/>
      <c r="C179" s="5"/>
      <c r="D179" s="31"/>
      <c r="E179" s="37"/>
      <c r="F179" s="52"/>
    </row>
    <row r="180" spans="1:6" x14ac:dyDescent="0.25">
      <c r="A180" s="30"/>
      <c r="B180" s="2"/>
      <c r="C180" s="2"/>
      <c r="D180" s="30"/>
      <c r="E180" s="36"/>
      <c r="F180" s="50"/>
    </row>
    <row r="181" spans="1:6" x14ac:dyDescent="0.25">
      <c r="A181" s="30"/>
      <c r="B181" s="2"/>
      <c r="C181" s="2"/>
      <c r="D181" s="30"/>
      <c r="E181" s="36"/>
      <c r="F181" s="50"/>
    </row>
    <row r="182" spans="1:6" x14ac:dyDescent="0.25">
      <c r="A182" s="31"/>
      <c r="B182" s="5"/>
      <c r="C182" s="5"/>
      <c r="D182" s="31"/>
      <c r="E182" s="37"/>
      <c r="F182" s="52"/>
    </row>
    <row r="183" spans="1:6" x14ac:dyDescent="0.25">
      <c r="A183" s="30"/>
      <c r="B183" s="2"/>
      <c r="C183" s="2"/>
      <c r="D183" s="30"/>
      <c r="E183" s="36"/>
      <c r="F183" s="50"/>
    </row>
    <row r="184" spans="1:6" x14ac:dyDescent="0.25">
      <c r="A184" s="30"/>
      <c r="B184" s="2"/>
      <c r="C184" s="2"/>
      <c r="D184" s="30"/>
      <c r="E184" s="36"/>
      <c r="F184" s="50"/>
    </row>
    <row r="185" spans="1:6" x14ac:dyDescent="0.25">
      <c r="A185" s="31"/>
      <c r="B185" s="5"/>
      <c r="C185" s="5"/>
      <c r="D185" s="31"/>
      <c r="E185" s="37"/>
      <c r="F185" s="52"/>
    </row>
    <row r="186" spans="1:6" x14ac:dyDescent="0.25">
      <c r="A186" s="30"/>
      <c r="B186" s="2"/>
      <c r="C186" s="2"/>
      <c r="D186" s="30"/>
      <c r="E186" s="36"/>
      <c r="F186" s="50"/>
    </row>
    <row r="187" spans="1:6" x14ac:dyDescent="0.25">
      <c r="A187" s="30"/>
      <c r="B187" s="2"/>
      <c r="C187" s="2"/>
      <c r="D187" s="30"/>
      <c r="E187" s="36"/>
      <c r="F187" s="50"/>
    </row>
    <row r="188" spans="1:6" x14ac:dyDescent="0.25">
      <c r="A188" s="31"/>
      <c r="B188" s="5"/>
      <c r="C188" s="5"/>
      <c r="D188" s="31"/>
      <c r="E188" s="37"/>
      <c r="F188" s="52"/>
    </row>
    <row r="189" spans="1:6" x14ac:dyDescent="0.25">
      <c r="A189" s="30"/>
      <c r="B189" s="2"/>
      <c r="C189" s="2"/>
      <c r="D189" s="30"/>
      <c r="E189" s="36"/>
      <c r="F189" s="50"/>
    </row>
    <row r="190" spans="1:6" x14ac:dyDescent="0.25">
      <c r="A190" s="30"/>
      <c r="B190" s="2"/>
      <c r="C190" s="2"/>
      <c r="D190" s="30"/>
      <c r="E190" s="36"/>
      <c r="F190" s="50"/>
    </row>
    <row r="191" spans="1:6" x14ac:dyDescent="0.25">
      <c r="A191" s="31"/>
      <c r="B191" s="5"/>
      <c r="C191" s="5"/>
      <c r="D191" s="31"/>
      <c r="E191" s="37"/>
      <c r="F191" s="52"/>
    </row>
    <row r="192" spans="1:6" x14ac:dyDescent="0.25">
      <c r="A192" s="30"/>
      <c r="B192" s="2"/>
      <c r="C192" s="2"/>
      <c r="D192" s="30"/>
      <c r="E192" s="36"/>
      <c r="F192" s="50"/>
    </row>
    <row r="193" spans="1:6" x14ac:dyDescent="0.25">
      <c r="A193" s="31"/>
      <c r="B193" s="5"/>
      <c r="C193" s="5"/>
      <c r="D193" s="31"/>
      <c r="E193" s="37"/>
      <c r="F193" s="52"/>
    </row>
    <row r="194" spans="1:6" x14ac:dyDescent="0.25">
      <c r="A194" s="30"/>
      <c r="B194" s="2"/>
      <c r="C194" s="2"/>
      <c r="D194" s="30"/>
      <c r="E194" s="36"/>
      <c r="F194" s="50"/>
    </row>
    <row r="195" spans="1:6" x14ac:dyDescent="0.25">
      <c r="A195" s="31"/>
      <c r="B195" s="5"/>
      <c r="C195" s="5"/>
      <c r="D195" s="31"/>
      <c r="E195" s="37"/>
      <c r="F195" s="52"/>
    </row>
    <row r="196" spans="1:6" x14ac:dyDescent="0.25">
      <c r="A196" s="30"/>
      <c r="B196" s="2"/>
      <c r="C196" s="2"/>
      <c r="D196" s="30"/>
      <c r="E196" s="36"/>
      <c r="F196" s="50"/>
    </row>
    <row r="197" spans="1:6" x14ac:dyDescent="0.25">
      <c r="A197" s="31"/>
      <c r="B197" s="5"/>
      <c r="C197" s="5"/>
      <c r="D197" s="31"/>
      <c r="E197" s="37"/>
      <c r="F197" s="52"/>
    </row>
    <row r="198" spans="1:6" x14ac:dyDescent="0.25">
      <c r="A198" s="30"/>
      <c r="B198" s="2"/>
      <c r="C198" s="2"/>
      <c r="D198" s="30"/>
      <c r="E198" s="36"/>
      <c r="F198" s="50"/>
    </row>
    <row r="199" spans="1:6" x14ac:dyDescent="0.25">
      <c r="A199" s="31"/>
      <c r="B199" s="5"/>
      <c r="C199" s="5"/>
      <c r="D199" s="31"/>
      <c r="E199" s="37"/>
      <c r="F199" s="52"/>
    </row>
  </sheetData>
  <sheetProtection sheet="1" objects="1" scenarios="1"/>
  <mergeCells count="1">
    <mergeCell ref="I1:L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1" hidden="1" customWidth="1"/>
    <col min="2" max="2" width="15.28515625" style="5" bestFit="1" customWidth="1"/>
    <col min="3" max="3" width="13.140625" style="5" customWidth="1"/>
    <col min="4" max="4" width="5.42578125" style="31" customWidth="1"/>
    <col min="5" max="5" width="9.140625" style="37" bestFit="1" customWidth="1"/>
    <col min="6" max="6" width="16.140625" style="52" customWidth="1"/>
    <col min="7" max="10" width="9.140625" style="5"/>
    <col min="11" max="11" width="15.5703125" style="5" bestFit="1" customWidth="1"/>
    <col min="12" max="12" width="9.140625" style="5"/>
    <col min="13" max="18" width="15.5703125" style="5" bestFit="1" customWidth="1"/>
    <col min="19" max="16384" width="9.140625" style="5"/>
  </cols>
  <sheetData>
    <row r="1" spans="1:12" x14ac:dyDescent="0.25">
      <c r="B1" s="45" t="s">
        <v>13</v>
      </c>
      <c r="C1" s="45"/>
      <c r="D1" s="45"/>
      <c r="E1" s="45"/>
      <c r="F1" s="45"/>
      <c r="I1" s="132"/>
      <c r="J1" s="132"/>
      <c r="K1" s="132"/>
      <c r="L1" s="132"/>
    </row>
    <row r="2" spans="1:12" x14ac:dyDescent="0.25">
      <c r="B2" s="45" t="s">
        <v>1</v>
      </c>
      <c r="C2" s="45" t="s">
        <v>2</v>
      </c>
      <c r="D2" s="45" t="s">
        <v>3</v>
      </c>
      <c r="E2" s="45" t="s">
        <v>4</v>
      </c>
      <c r="F2" s="45" t="s">
        <v>5</v>
      </c>
      <c r="I2" s="132"/>
      <c r="J2" s="132"/>
      <c r="K2" s="132"/>
      <c r="L2" s="132"/>
    </row>
    <row r="3" spans="1:12" x14ac:dyDescent="0.25">
      <c r="A3" s="30"/>
      <c r="B3" s="60"/>
      <c r="C3" s="60"/>
      <c r="D3" s="30"/>
      <c r="E3" s="36"/>
      <c r="F3" s="50"/>
    </row>
    <row r="4" spans="1:12" x14ac:dyDescent="0.25">
      <c r="B4" s="6"/>
      <c r="C4" s="6"/>
    </row>
    <row r="5" spans="1:12" x14ac:dyDescent="0.25">
      <c r="A5" s="30"/>
      <c r="B5" s="60"/>
      <c r="C5" s="60"/>
      <c r="D5" s="30"/>
      <c r="E5" s="36"/>
      <c r="F5" s="50"/>
    </row>
    <row r="6" spans="1:12" x14ac:dyDescent="0.25">
      <c r="B6" s="6"/>
      <c r="C6" s="6"/>
    </row>
    <row r="7" spans="1:12" x14ac:dyDescent="0.25">
      <c r="A7" s="30"/>
      <c r="B7" s="60"/>
      <c r="C7" s="60"/>
      <c r="D7" s="30"/>
      <c r="E7" s="36"/>
      <c r="F7" s="50"/>
    </row>
    <row r="8" spans="1:12" x14ac:dyDescent="0.25">
      <c r="B8" s="6"/>
      <c r="C8" s="6"/>
    </row>
    <row r="9" spans="1:12" x14ac:dyDescent="0.25">
      <c r="A9" s="30"/>
      <c r="B9" s="60"/>
      <c r="C9" s="60"/>
      <c r="D9" s="30"/>
      <c r="E9" s="36"/>
      <c r="F9" s="50"/>
    </row>
    <row r="10" spans="1:12" x14ac:dyDescent="0.25">
      <c r="B10" s="6"/>
      <c r="C10" s="6"/>
    </row>
    <row r="11" spans="1:12" x14ac:dyDescent="0.25">
      <c r="A11" s="30"/>
      <c r="B11" s="60"/>
      <c r="C11" s="60"/>
      <c r="D11" s="30"/>
      <c r="E11" s="36"/>
      <c r="F11" s="50"/>
    </row>
    <row r="12" spans="1:12" x14ac:dyDescent="0.25">
      <c r="B12" s="6"/>
      <c r="C12" s="6"/>
    </row>
    <row r="13" spans="1:12" x14ac:dyDescent="0.25">
      <c r="A13" s="30"/>
      <c r="B13" s="60"/>
      <c r="C13" s="60"/>
      <c r="D13" s="30"/>
      <c r="E13" s="36"/>
      <c r="F13" s="50"/>
    </row>
    <row r="14" spans="1:12" x14ac:dyDescent="0.25">
      <c r="B14" s="6"/>
      <c r="C14" s="6"/>
    </row>
    <row r="15" spans="1:12" x14ac:dyDescent="0.25">
      <c r="A15" s="30"/>
      <c r="B15" s="60"/>
      <c r="C15" s="60"/>
      <c r="D15" s="30"/>
      <c r="E15" s="36"/>
      <c r="F15" s="50"/>
    </row>
    <row r="16" spans="1:12" x14ac:dyDescent="0.25">
      <c r="B16" s="6"/>
      <c r="C16" s="6"/>
    </row>
    <row r="17" spans="1:6" x14ac:dyDescent="0.25">
      <c r="A17" s="30"/>
      <c r="B17" s="60"/>
      <c r="C17" s="60"/>
      <c r="D17" s="30"/>
      <c r="E17" s="36"/>
      <c r="F17" s="50"/>
    </row>
    <row r="18" spans="1:6" x14ac:dyDescent="0.25">
      <c r="B18" s="6"/>
      <c r="C18" s="6"/>
    </row>
    <row r="19" spans="1:6" x14ac:dyDescent="0.25">
      <c r="A19" s="30"/>
      <c r="B19" s="60"/>
      <c r="C19" s="60"/>
      <c r="D19" s="30"/>
      <c r="E19" s="36"/>
      <c r="F19" s="50"/>
    </row>
    <row r="20" spans="1:6" x14ac:dyDescent="0.25">
      <c r="B20" s="6"/>
      <c r="C20" s="6"/>
    </row>
    <row r="21" spans="1:6" x14ac:dyDescent="0.25">
      <c r="A21" s="30"/>
      <c r="B21" s="60"/>
      <c r="C21" s="60"/>
      <c r="D21" s="30"/>
      <c r="E21" s="36"/>
      <c r="F21" s="50"/>
    </row>
    <row r="22" spans="1:6" x14ac:dyDescent="0.25">
      <c r="B22" s="6"/>
      <c r="C22" s="6"/>
    </row>
    <row r="23" spans="1:6" x14ac:dyDescent="0.25">
      <c r="A23" s="30"/>
      <c r="B23" s="60"/>
      <c r="C23" s="60"/>
      <c r="D23" s="30"/>
      <c r="E23" s="36"/>
      <c r="F23" s="50"/>
    </row>
    <row r="24" spans="1:6" x14ac:dyDescent="0.25">
      <c r="B24" s="6"/>
      <c r="C24" s="6"/>
    </row>
    <row r="25" spans="1:6" x14ac:dyDescent="0.25">
      <c r="A25" s="30"/>
      <c r="B25" s="60"/>
      <c r="C25" s="60"/>
      <c r="D25" s="30"/>
      <c r="E25" s="36"/>
      <c r="F25" s="50"/>
    </row>
    <row r="27" spans="1:6" x14ac:dyDescent="0.25">
      <c r="A27" s="30"/>
      <c r="B27" s="2"/>
      <c r="C27" s="2"/>
      <c r="D27" s="30"/>
      <c r="E27" s="36"/>
      <c r="F27" s="50"/>
    </row>
    <row r="29" spans="1:6" x14ac:dyDescent="0.25">
      <c r="A29" s="30"/>
      <c r="B29" s="2"/>
      <c r="C29" s="2"/>
      <c r="D29" s="30"/>
      <c r="E29" s="36"/>
      <c r="F29" s="50"/>
    </row>
    <row r="31" spans="1:6" x14ac:dyDescent="0.25">
      <c r="A31" s="30"/>
      <c r="B31" s="2"/>
      <c r="C31" s="2"/>
      <c r="D31" s="30"/>
      <c r="E31" s="36"/>
      <c r="F31" s="50"/>
    </row>
    <row r="33" spans="1:18" x14ac:dyDescent="0.25">
      <c r="A33" s="30"/>
      <c r="B33" s="2"/>
      <c r="C33" s="2"/>
      <c r="D33" s="30"/>
      <c r="E33" s="36"/>
      <c r="F33" s="50"/>
    </row>
    <row r="35" spans="1:18" x14ac:dyDescent="0.25">
      <c r="A35" s="30"/>
      <c r="B35" s="2"/>
      <c r="C35" s="2"/>
      <c r="D35" s="30"/>
      <c r="E35" s="36"/>
      <c r="F35" s="50"/>
      <c r="K35" s="6"/>
      <c r="M35" s="6"/>
    </row>
    <row r="37" spans="1:18" x14ac:dyDescent="0.25">
      <c r="A37" s="30"/>
      <c r="B37" s="2"/>
      <c r="C37" s="2"/>
      <c r="D37" s="30"/>
      <c r="E37" s="36"/>
      <c r="F37" s="50"/>
      <c r="N37" s="6"/>
      <c r="O37" s="6"/>
      <c r="P37" s="6"/>
      <c r="Q37" s="6"/>
      <c r="R37" s="6"/>
    </row>
    <row r="38" spans="1:18" x14ac:dyDescent="0.25">
      <c r="N38" s="6"/>
      <c r="O38" s="6"/>
      <c r="P38" s="6"/>
      <c r="Q38" s="6"/>
    </row>
    <row r="39" spans="1:18" x14ac:dyDescent="0.25">
      <c r="A39" s="30"/>
      <c r="B39" s="2"/>
      <c r="C39" s="2"/>
      <c r="D39" s="30"/>
      <c r="E39" s="36"/>
      <c r="F39" s="50"/>
      <c r="N39" s="6"/>
      <c r="O39" s="6"/>
      <c r="P39" s="6"/>
      <c r="Q39" s="6"/>
    </row>
    <row r="40" spans="1:18" x14ac:dyDescent="0.25">
      <c r="N40" s="6"/>
      <c r="O40" s="6"/>
      <c r="P40" s="6"/>
      <c r="Q40" s="6"/>
    </row>
    <row r="41" spans="1:18" x14ac:dyDescent="0.25">
      <c r="A41" s="30"/>
      <c r="B41" s="2"/>
      <c r="C41" s="2"/>
      <c r="D41" s="30"/>
      <c r="E41" s="36"/>
      <c r="F41" s="50"/>
      <c r="N41" s="6"/>
      <c r="O41" s="6"/>
      <c r="P41" s="6"/>
      <c r="Q41" s="6"/>
      <c r="R41" s="6"/>
    </row>
    <row r="42" spans="1:18" x14ac:dyDescent="0.25">
      <c r="N42" s="6"/>
      <c r="O42" s="6"/>
      <c r="P42" s="6"/>
      <c r="Q42" s="6"/>
    </row>
    <row r="43" spans="1:18" x14ac:dyDescent="0.25">
      <c r="A43" s="30"/>
      <c r="B43" s="2"/>
      <c r="C43" s="2"/>
      <c r="D43" s="30"/>
      <c r="E43" s="36"/>
      <c r="F43" s="50"/>
      <c r="N43" s="6"/>
      <c r="O43" s="6"/>
      <c r="P43" s="6"/>
      <c r="Q43" s="6"/>
    </row>
    <row r="44" spans="1:18" x14ac:dyDescent="0.25">
      <c r="N44" s="6"/>
      <c r="O44" s="6"/>
      <c r="P44" s="6"/>
      <c r="Q44" s="6"/>
    </row>
    <row r="45" spans="1:18" x14ac:dyDescent="0.25">
      <c r="A45" s="30"/>
      <c r="B45" s="2"/>
      <c r="C45" s="2"/>
      <c r="D45" s="30"/>
      <c r="E45" s="36"/>
      <c r="F45" s="50"/>
      <c r="N45" s="6"/>
      <c r="O45" s="6"/>
      <c r="P45" s="6"/>
      <c r="Q45" s="6"/>
    </row>
    <row r="46" spans="1:18" x14ac:dyDescent="0.25">
      <c r="N46" s="6"/>
      <c r="O46" s="6"/>
      <c r="P46" s="6"/>
      <c r="Q46" s="6"/>
    </row>
    <row r="47" spans="1:18" x14ac:dyDescent="0.25">
      <c r="A47" s="30"/>
      <c r="B47" s="2"/>
      <c r="C47" s="2"/>
      <c r="D47" s="30"/>
      <c r="E47" s="36"/>
      <c r="F47" s="50"/>
      <c r="N47" s="6"/>
      <c r="O47" s="6"/>
      <c r="P47" s="6"/>
      <c r="Q47" s="6"/>
    </row>
    <row r="48" spans="1:18" x14ac:dyDescent="0.25">
      <c r="N48" s="6"/>
      <c r="O48" s="6"/>
      <c r="P48" s="6"/>
      <c r="Q48" s="6"/>
    </row>
    <row r="49" spans="1:18" x14ac:dyDescent="0.25">
      <c r="A49" s="30"/>
      <c r="B49" s="2"/>
      <c r="C49" s="2"/>
      <c r="D49" s="30"/>
      <c r="E49" s="36"/>
      <c r="F49" s="50"/>
      <c r="N49" s="6"/>
      <c r="O49" s="6"/>
      <c r="P49" s="6"/>
      <c r="Q49" s="6"/>
      <c r="R49" s="6"/>
    </row>
    <row r="50" spans="1:18" x14ac:dyDescent="0.25">
      <c r="N50" s="6"/>
      <c r="O50" s="6"/>
      <c r="P50" s="6"/>
      <c r="Q50" s="6"/>
      <c r="R50" s="6"/>
    </row>
    <row r="51" spans="1:18" x14ac:dyDescent="0.25">
      <c r="A51" s="30"/>
      <c r="B51" s="2"/>
      <c r="C51" s="2"/>
      <c r="D51" s="30"/>
      <c r="E51" s="36"/>
      <c r="F51" s="50"/>
      <c r="N51" s="6"/>
      <c r="O51" s="6"/>
      <c r="P51" s="6"/>
      <c r="Q51" s="6"/>
      <c r="R51" s="6"/>
    </row>
    <row r="52" spans="1:18" x14ac:dyDescent="0.25">
      <c r="N52" s="6"/>
      <c r="O52" s="6"/>
      <c r="P52" s="6"/>
      <c r="Q52" s="6"/>
    </row>
    <row r="53" spans="1:18" x14ac:dyDescent="0.25">
      <c r="A53" s="30"/>
      <c r="B53" s="2"/>
      <c r="C53" s="2"/>
      <c r="D53" s="30"/>
      <c r="E53" s="36"/>
      <c r="F53" s="50"/>
      <c r="N53" s="6"/>
      <c r="O53" s="6"/>
      <c r="P53" s="6"/>
      <c r="Q53" s="6"/>
    </row>
    <row r="54" spans="1:18" x14ac:dyDescent="0.25">
      <c r="N54" s="6"/>
      <c r="O54" s="6"/>
      <c r="P54" s="6"/>
      <c r="Q54" s="6"/>
    </row>
    <row r="55" spans="1:18" x14ac:dyDescent="0.25">
      <c r="A55" s="30"/>
      <c r="B55" s="2"/>
      <c r="C55" s="2"/>
      <c r="D55" s="30"/>
      <c r="E55" s="36"/>
      <c r="F55" s="50"/>
      <c r="N55" s="6"/>
      <c r="O55" s="6"/>
      <c r="P55" s="6"/>
      <c r="Q55" s="6"/>
    </row>
    <row r="56" spans="1:18" x14ac:dyDescent="0.25">
      <c r="N56" s="6"/>
      <c r="O56" s="6"/>
      <c r="P56" s="6"/>
      <c r="Q56" s="6"/>
    </row>
    <row r="57" spans="1:18" x14ac:dyDescent="0.25">
      <c r="A57" s="30"/>
      <c r="B57" s="2"/>
      <c r="C57" s="2"/>
      <c r="D57" s="30"/>
      <c r="E57" s="36"/>
      <c r="F57" s="50"/>
      <c r="N57" s="6"/>
      <c r="O57" s="6"/>
      <c r="P57" s="6"/>
      <c r="Q57" s="6"/>
    </row>
    <row r="58" spans="1:18" x14ac:dyDescent="0.25">
      <c r="N58" s="6"/>
      <c r="O58" s="6"/>
      <c r="P58" s="6"/>
      <c r="Q58" s="6"/>
    </row>
    <row r="59" spans="1:18" x14ac:dyDescent="0.25">
      <c r="A59" s="30"/>
      <c r="B59" s="2"/>
      <c r="C59" s="2"/>
      <c r="D59" s="30"/>
      <c r="E59" s="36"/>
      <c r="F59" s="50"/>
      <c r="N59" s="6"/>
      <c r="O59" s="6"/>
      <c r="P59" s="6"/>
      <c r="Q59" s="6"/>
      <c r="R59" s="6"/>
    </row>
    <row r="60" spans="1:18" x14ac:dyDescent="0.25">
      <c r="N60" s="6"/>
      <c r="O60" s="6"/>
      <c r="P60" s="6"/>
      <c r="Q60" s="6"/>
      <c r="R60" s="6"/>
    </row>
    <row r="61" spans="1:18" x14ac:dyDescent="0.25">
      <c r="A61" s="30"/>
      <c r="B61" s="2"/>
      <c r="C61" s="2"/>
      <c r="D61" s="30"/>
      <c r="E61" s="36"/>
      <c r="F61" s="50"/>
      <c r="N61" s="6"/>
      <c r="O61" s="6"/>
      <c r="P61" s="6"/>
      <c r="Q61" s="6"/>
    </row>
    <row r="62" spans="1:18" x14ac:dyDescent="0.25">
      <c r="N62" s="6"/>
      <c r="O62" s="6"/>
      <c r="P62" s="6"/>
      <c r="Q62" s="6"/>
    </row>
    <row r="63" spans="1:18" x14ac:dyDescent="0.25">
      <c r="A63" s="30"/>
      <c r="B63" s="2"/>
      <c r="C63" s="2"/>
      <c r="D63" s="30"/>
      <c r="E63" s="36"/>
      <c r="F63" s="50"/>
      <c r="N63" s="6"/>
      <c r="O63" s="6"/>
      <c r="P63" s="6"/>
      <c r="Q63" s="6"/>
      <c r="R63" s="6"/>
    </row>
    <row r="64" spans="1:18" x14ac:dyDescent="0.25">
      <c r="N64" s="6"/>
      <c r="O64" s="6"/>
      <c r="P64" s="6"/>
      <c r="Q64" s="6"/>
      <c r="R64" s="6"/>
    </row>
    <row r="65" spans="1:6" x14ac:dyDescent="0.25">
      <c r="A65" s="30"/>
      <c r="B65" s="2"/>
      <c r="C65" s="2"/>
      <c r="D65" s="30"/>
      <c r="E65" s="36"/>
      <c r="F65" s="50"/>
    </row>
    <row r="67" spans="1:6" x14ac:dyDescent="0.25">
      <c r="A67" s="30"/>
      <c r="B67" s="2"/>
      <c r="C67" s="2"/>
      <c r="D67" s="30"/>
      <c r="E67" s="36"/>
      <c r="F67" s="50"/>
    </row>
    <row r="69" spans="1:6" x14ac:dyDescent="0.25">
      <c r="A69" s="30"/>
      <c r="B69" s="2"/>
      <c r="C69" s="2"/>
      <c r="D69" s="30"/>
      <c r="E69" s="36"/>
      <c r="F69" s="50"/>
    </row>
    <row r="71" spans="1:6" x14ac:dyDescent="0.25">
      <c r="A71" s="30"/>
      <c r="B71" s="2"/>
      <c r="C71" s="2"/>
      <c r="D71" s="30"/>
      <c r="E71" s="36"/>
      <c r="F71" s="50"/>
    </row>
    <row r="73" spans="1:6" x14ac:dyDescent="0.25">
      <c r="A73" s="30"/>
      <c r="B73" s="2"/>
      <c r="C73" s="2"/>
      <c r="D73" s="30"/>
      <c r="E73" s="36"/>
      <c r="F73" s="50"/>
    </row>
    <row r="75" spans="1:6" x14ac:dyDescent="0.25">
      <c r="A75" s="30"/>
      <c r="B75" s="2"/>
      <c r="C75" s="2"/>
      <c r="D75" s="30"/>
      <c r="E75" s="36"/>
      <c r="F75" s="50"/>
    </row>
    <row r="77" spans="1:6" x14ac:dyDescent="0.25">
      <c r="A77" s="30"/>
      <c r="B77" s="2"/>
      <c r="C77" s="2"/>
      <c r="D77" s="30"/>
      <c r="E77" s="36"/>
      <c r="F77" s="50"/>
    </row>
    <row r="79" spans="1:6" x14ac:dyDescent="0.25">
      <c r="A79" s="30"/>
      <c r="B79" s="2"/>
      <c r="C79" s="2"/>
      <c r="D79" s="30"/>
      <c r="E79" s="36"/>
      <c r="F79" s="50"/>
    </row>
    <row r="81" spans="1:6" x14ac:dyDescent="0.25">
      <c r="A81" s="30"/>
      <c r="B81" s="2"/>
      <c r="C81" s="2"/>
      <c r="D81" s="30"/>
      <c r="E81" s="36"/>
      <c r="F81" s="50"/>
    </row>
    <row r="83" spans="1:6" x14ac:dyDescent="0.25">
      <c r="A83" s="30"/>
      <c r="B83" s="2"/>
      <c r="C83" s="2"/>
      <c r="D83" s="30"/>
      <c r="E83" s="36"/>
      <c r="F83" s="50"/>
    </row>
    <row r="85" spans="1:6" x14ac:dyDescent="0.25">
      <c r="A85" s="30"/>
      <c r="B85" s="2"/>
      <c r="C85" s="2"/>
      <c r="D85" s="30"/>
      <c r="E85" s="36"/>
      <c r="F85" s="50"/>
    </row>
    <row r="87" spans="1:6" x14ac:dyDescent="0.25">
      <c r="A87" s="30"/>
      <c r="B87" s="2"/>
      <c r="C87" s="2"/>
      <c r="D87" s="30"/>
      <c r="E87" s="36"/>
      <c r="F87" s="50"/>
    </row>
    <row r="89" spans="1:6" x14ac:dyDescent="0.25">
      <c r="A89" s="30"/>
      <c r="B89" s="2"/>
      <c r="C89" s="2"/>
      <c r="D89" s="30"/>
      <c r="E89" s="36"/>
      <c r="F89" s="50"/>
    </row>
    <row r="91" spans="1:6" x14ac:dyDescent="0.25">
      <c r="A91" s="30"/>
      <c r="B91" s="2"/>
      <c r="C91" s="2"/>
      <c r="D91" s="30"/>
      <c r="E91" s="36"/>
      <c r="F91" s="50"/>
    </row>
    <row r="93" spans="1:6" x14ac:dyDescent="0.25">
      <c r="A93" s="30"/>
      <c r="B93" s="2"/>
      <c r="C93" s="2"/>
      <c r="D93" s="30"/>
      <c r="E93" s="36"/>
      <c r="F93" s="50"/>
    </row>
    <row r="95" spans="1:6" x14ac:dyDescent="0.25">
      <c r="A95" s="30"/>
      <c r="B95" s="2"/>
      <c r="C95" s="2"/>
      <c r="D95" s="30"/>
      <c r="E95" s="36"/>
      <c r="F95" s="50"/>
    </row>
    <row r="97" spans="1:6" x14ac:dyDescent="0.25">
      <c r="A97" s="30"/>
      <c r="B97" s="2"/>
      <c r="C97" s="2"/>
      <c r="D97" s="30"/>
      <c r="E97" s="36"/>
      <c r="F97" s="50"/>
    </row>
    <row r="99" spans="1:6" x14ac:dyDescent="0.25">
      <c r="A99" s="30"/>
      <c r="B99" s="2"/>
      <c r="C99" s="2"/>
      <c r="D99" s="30"/>
      <c r="E99" s="36"/>
      <c r="F99" s="50"/>
    </row>
  </sheetData>
  <sheetProtection sheet="1" objects="1" scenarios="1"/>
  <mergeCells count="1">
    <mergeCell ref="I1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154</v>
      </c>
    </row>
    <row r="3" spans="1:2" x14ac:dyDescent="0.25">
      <c r="A3" t="s">
        <v>147</v>
      </c>
      <c r="B3" t="s">
        <v>155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156</v>
      </c>
    </row>
    <row r="6" spans="1:2" x14ac:dyDescent="0.25">
      <c r="A6" t="s">
        <v>149</v>
      </c>
      <c r="B6" t="s">
        <v>157</v>
      </c>
    </row>
    <row r="7" spans="1:2" x14ac:dyDescent="0.25">
      <c r="A7" t="s">
        <v>152</v>
      </c>
      <c r="B7" t="s">
        <v>158</v>
      </c>
    </row>
    <row r="8" spans="1:2" x14ac:dyDescent="0.25">
      <c r="A8" t="s">
        <v>153</v>
      </c>
      <c r="B8">
        <v>2016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7</vt:i4>
      </vt:variant>
    </vt:vector>
  </HeadingPairs>
  <TitlesOfParts>
    <vt:vector size="15" baseType="lpstr">
      <vt:lpstr>overzicht reizen</vt:lpstr>
      <vt:lpstr>statistiek</vt:lpstr>
      <vt:lpstr>Historie Opvaart</vt:lpstr>
      <vt:lpstr>afwijkingen</vt:lpstr>
      <vt:lpstr>Air clearance</vt:lpstr>
      <vt:lpstr>Historie Afvaart</vt:lpstr>
      <vt:lpstr>Historie Verhaling </vt:lpstr>
      <vt:lpstr>data</vt:lpstr>
      <vt:lpstr>afvaart_kop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cp:lastPrinted>2016-02-01T16:20:19Z</cp:lastPrinted>
  <dcterms:created xsi:type="dcterms:W3CDTF">2015-03-16T00:14:58Z</dcterms:created>
  <dcterms:modified xsi:type="dcterms:W3CDTF">2016-02-26T01:47:58Z</dcterms:modified>
</cp:coreProperties>
</file>